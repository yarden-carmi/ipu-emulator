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828" yWindow="-108" windowWidth="30936" windowHeight="16776" tabRatio="600" firstSheet="0" activeTab="0" autoFilterDateGrouping="1"/>
  </bookViews>
  <sheets>
    <sheet name="MobileViT" sheetId="1" state="visible" r:id="rId1"/>
    <sheet name="SuperGlue (original)" sheetId="2" state="visible" r:id="rId2"/>
    <sheet name="SG max-Sinkhorn" sheetId="3" state="visible" r:id="rId3"/>
    <sheet name="SG base2-softmax" sheetId="4" state="visible" r:id="rId4"/>
    <sheet name="SG transpose-free col" sheetId="5" state="visible" r:id="rId5"/>
    <sheet name="SG fixed-thresh match" sheetId="6" state="visible" r:id="rId6"/>
    <sheet name="SG max-Sinkhorn (measured)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5" borderId="1" pivotButton="0" quotePrefix="0" xfId="0"/>
    <xf numFmtId="0" fontId="0" fillId="5" borderId="1" pivotButton="0" quotePrefix="0" xfId="0"/>
    <xf numFmtId="0" fontId="1" fillId="5" borderId="1" applyAlignment="1" pivotButton="0" quotePrefix="0" xfId="0">
      <alignment wrapText="1"/>
    </xf>
    <xf numFmtId="0" fontId="1" fillId="6" borderId="1" pivotButton="0" quotePrefix="0" xfId="0"/>
    <xf numFmtId="0" fontId="0" fillId="6" borderId="1" pivotButton="0" quotePrefix="0" xfId="0"/>
    <xf numFmtId="0" fontId="1" fillId="7" borderId="1" pivotButton="0" quotePrefix="0" xfId="0"/>
    <xf numFmtId="0" fontId="0" fillId="7" borderId="1" pivotButton="0" quotePrefix="0" xfId="0"/>
    <xf numFmtId="0" fontId="1" fillId="9" borderId="1" pivotButton="0" quotePrefix="0" xfId="0"/>
    <xf numFmtId="0" fontId="0" fillId="9" borderId="1" pivotButton="0" quotePrefix="0" xfId="0"/>
    <xf numFmtId="0" fontId="1" fillId="3" borderId="3" pivotButton="0" quotePrefix="0" xfId="0"/>
    <xf numFmtId="0" fontId="1" fillId="0" borderId="0" pivotButton="0" quotePrefix="0" xfId="0"/>
    <xf numFmtId="164" fontId="1" fillId="12" borderId="0" pivotButton="0" quotePrefix="0" xfId="0"/>
    <xf numFmtId="0" fontId="1" fillId="3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2" borderId="2" pivotButton="0" quotePrefix="0" xfId="0"/>
    <xf numFmtId="0" fontId="0" fillId="3" borderId="2" pivotButton="0" quotePrefix="0" xfId="0"/>
    <xf numFmtId="0" fontId="0" fillId="7" borderId="2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12" borderId="1" pivotButton="0" quotePrefix="0" xfId="0"/>
    <xf numFmtId="164" fontId="0" fillId="10" borderId="1" pivotButton="0" quotePrefix="0" xfId="0"/>
    <xf numFmtId="0" fontId="0" fillId="10" borderId="1" pivotButton="0" quotePrefix="0" xfId="0"/>
    <xf numFmtId="0" fontId="1" fillId="8" borderId="1" pivotButton="0" quotePrefix="0" xfId="0"/>
    <xf numFmtId="164" fontId="1" fillId="8" borderId="1" pivotButton="0" quotePrefix="0" xfId="0"/>
    <xf numFmtId="0" fontId="1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1" fillId="8" borderId="9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8" borderId="9" applyAlignment="1" pivotButton="0" quotePrefix="0" xfId="0">
      <alignment horizontal="center" vertical="center"/>
    </xf>
    <xf numFmtId="0" fontId="1" fillId="8" borderId="9" applyAlignment="1" pivotButton="0" quotePrefix="0" xfId="0">
      <alignment horizontal="center" wrapText="1"/>
    </xf>
    <xf numFmtId="0" fontId="0" fillId="8" borderId="9" applyAlignment="1" pivotButton="0" quotePrefix="0" xfId="0">
      <alignment horizontal="center" wrapText="1"/>
    </xf>
    <xf numFmtId="0" fontId="1" fillId="8" borderId="7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1" fillId="8" borderId="8" applyAlignment="1" pivotButton="0" quotePrefix="0" xfId="0">
      <alignment horizontal="center" vertical="center" wrapText="1"/>
    </xf>
    <xf numFmtId="0" fontId="1" fillId="8" borderId="9" applyAlignment="1" pivotButton="0" quotePrefix="0" xfId="0">
      <alignment horizontal="center" vertical="center" wrapText="1"/>
    </xf>
    <xf numFmtId="0" fontId="1" fillId="8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5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121" sqref="V121"/>
    </sheetView>
  </sheetViews>
  <sheetFormatPr baseColWidth="8" defaultRowHeight="14.4"/>
  <cols>
    <col width="36.109375" bestFit="1" customWidth="1" style="8" min="1" max="1"/>
    <col width="20.44140625" bestFit="1" customWidth="1" style="8" min="2" max="2"/>
    <col width="4.109375" bestFit="1" customWidth="1" style="11" min="3" max="4"/>
    <col width="13" customWidth="1" min="4" max="4"/>
    <col width="6.109375" bestFit="1" customWidth="1" style="11" min="5" max="5"/>
    <col width="11.6640625" bestFit="1" customWidth="1" style="2" min="6" max="6"/>
    <col width="5.44140625" bestFit="1" customWidth="1" style="2" min="7" max="7"/>
    <col width="6.109375" bestFit="1" customWidth="1" style="2" min="8" max="8"/>
    <col width="9.109375" customWidth="1" style="3" min="9" max="11"/>
    <col width="13" customWidth="1" min="10" max="10"/>
    <col width="13" customWidth="1" min="11" max="11"/>
    <col width="5.44140625" bestFit="1" customWidth="1" style="13" min="12" max="13"/>
    <col width="13" customWidth="1" min="13" max="13"/>
    <col width="6.109375" bestFit="1" customWidth="1" style="13" min="14" max="14"/>
    <col width="17.5546875" bestFit="1" customWidth="1" style="3" min="15" max="16"/>
    <col width="13" customWidth="1" min="16" max="16"/>
    <col width="17.5546875" customWidth="1" style="3" min="17" max="17"/>
    <col width="17.77734375" bestFit="1" customWidth="1" style="3" min="18" max="18"/>
    <col width="9.77734375" bestFit="1" customWidth="1" style="3" min="19" max="19"/>
    <col width="11.21875" bestFit="1" customWidth="1" style="3" min="20" max="20"/>
    <col width="10.88671875" bestFit="1" customWidth="1" min="21" max="22"/>
    <col width="13" customWidth="1" min="22" max="22"/>
    <col width="10.5546875" customWidth="1" min="23" max="23"/>
    <col width="12.77734375" customWidth="1" min="24" max="24"/>
    <col width="30.33203125" bestFit="1" customWidth="1" min="25" max="25"/>
    <col width="12.77734375" customWidth="1" min="26" max="26"/>
  </cols>
  <sheetData>
    <row r="1">
      <c r="A1" s="7" t="inlineStr">
        <is>
          <t>Layer</t>
        </is>
      </c>
      <c r="B1" s="7" t="inlineStr">
        <is>
          <t>Type</t>
        </is>
      </c>
      <c r="C1" s="10" t="inlineStr">
        <is>
          <t>H</t>
        </is>
      </c>
      <c r="D1" s="10" t="inlineStr">
        <is>
          <t>W</t>
        </is>
      </c>
      <c r="E1" s="10" t="inlineStr">
        <is>
          <t>Cin</t>
        </is>
      </c>
      <c r="F1" s="1" t="inlineStr">
        <is>
          <t>Filter/Weight</t>
        </is>
      </c>
      <c r="G1" s="1" t="inlineStr">
        <is>
          <t>Cin</t>
        </is>
      </c>
      <c r="H1" s="1" t="inlineStr">
        <is>
          <t>Cout</t>
        </is>
      </c>
      <c r="I1" s="4" t="inlineStr">
        <is>
          <t>BN</t>
        </is>
      </c>
      <c r="J1" s="4" t="inlineStr">
        <is>
          <t>D</t>
        </is>
      </c>
      <c r="K1" s="4" t="inlineStr">
        <is>
          <t>None</t>
        </is>
      </c>
      <c r="L1" s="14" t="inlineStr">
        <is>
          <t>H</t>
        </is>
      </c>
      <c r="M1" s="14" t="inlineStr">
        <is>
          <t>W</t>
        </is>
      </c>
      <c r="N1" s="14" t="inlineStr">
        <is>
          <t>Cin</t>
        </is>
      </c>
      <c r="O1" s="4" t="inlineStr">
        <is>
          <t>Input 1 Memory(kB)</t>
        </is>
      </c>
      <c r="P1" s="4" t="inlineStr">
        <is>
          <t>Input 2 Memory(kB)</t>
        </is>
      </c>
      <c r="Q1" s="4" t="inlineStr">
        <is>
          <t>Input 3 Memory(kB)</t>
        </is>
      </c>
      <c r="R1" s="4" t="inlineStr">
        <is>
          <t>Output Memory(kB)</t>
        </is>
      </c>
      <c r="S1" s="4" t="inlineStr">
        <is>
          <t xml:space="preserve">Cycles </t>
        </is>
      </c>
      <c r="T1" s="4" t="inlineStr">
        <is>
          <t>Time[us]</t>
        </is>
      </c>
      <c r="U1" s="4" t="inlineStr">
        <is>
          <t>BW 1(Gbps)</t>
        </is>
      </c>
      <c r="V1" s="4" t="inlineStr">
        <is>
          <t>BW 2(Gbps)</t>
        </is>
      </c>
      <c r="W1" s="4" t="inlineStr">
        <is>
          <t>BW 3(Gbps)</t>
        </is>
      </c>
      <c r="X1" s="4" t="inlineStr">
        <is>
          <t>BW Out(Gbps)</t>
        </is>
      </c>
      <c r="Y1" s="19" t="inlineStr">
        <is>
          <t>freq Ghz</t>
        </is>
      </c>
      <c r="Z1" s="16" t="inlineStr">
        <is>
          <t>Mem BW Gbps</t>
        </is>
      </c>
    </row>
    <row r="2">
      <c r="A2" s="7" t="inlineStr">
        <is>
          <t>Input for the Network</t>
        </is>
      </c>
      <c r="B2" s="7" t="inlineStr">
        <is>
          <t>Model input</t>
        </is>
      </c>
      <c r="C2" s="11" t="n">
        <v>256</v>
      </c>
      <c r="D2" s="11" t="n">
        <v>256</v>
      </c>
      <c r="E2" s="11" t="n">
        <v>3</v>
      </c>
      <c r="F2" s="2" t="n">
        <v>0</v>
      </c>
      <c r="G2" s="2" t="n">
        <v>0</v>
      </c>
      <c r="H2" s="2" t="n">
        <v>0</v>
      </c>
      <c r="I2" s="3" t="n">
        <v>0</v>
      </c>
      <c r="J2" s="3" t="n">
        <v>0</v>
      </c>
      <c r="K2" s="3" t="n">
        <v>0</v>
      </c>
      <c r="L2" s="15" t="n">
        <v>256</v>
      </c>
      <c r="M2" s="15" t="n">
        <v>256</v>
      </c>
      <c r="N2" s="15" t="n">
        <v>3</v>
      </c>
      <c r="O2" s="3">
        <f>C2*D2*E2/1024</f>
        <v/>
      </c>
      <c r="P2" s="3" t="inlineStr">
        <is>
          <t>None</t>
        </is>
      </c>
      <c r="Q2" s="3" t="inlineStr">
        <is>
          <t>None</t>
        </is>
      </c>
      <c r="R2" s="3">
        <f>L2*M2*N2/1024</f>
        <v/>
      </c>
      <c r="S2" s="3" t="inlineStr">
        <is>
          <t>None</t>
        </is>
      </c>
      <c r="U2" s="25" t="n"/>
      <c r="V2" s="25" t="n"/>
      <c r="W2" s="25" t="n"/>
      <c r="X2" s="25" t="n"/>
      <c r="Y2" t="n">
        <v>1</v>
      </c>
      <c r="Z2" t="n">
        <v>8</v>
      </c>
    </row>
    <row r="3" ht="15" customHeight="1">
      <c r="A3" s="7" t="inlineStr">
        <is>
          <t>Conv  + SiLU + BN</t>
        </is>
      </c>
      <c r="B3" s="7" t="inlineStr">
        <is>
          <t xml:space="preserve">Conv </t>
        </is>
      </c>
      <c r="C3" s="11" t="n">
        <v>256</v>
      </c>
      <c r="D3" s="11" t="n">
        <v>256</v>
      </c>
      <c r="E3" s="11" t="n">
        <v>3</v>
      </c>
      <c r="F3" s="2" t="n">
        <v>3</v>
      </c>
      <c r="G3" s="2" t="n">
        <v>3</v>
      </c>
      <c r="H3" s="2" t="n">
        <v>16</v>
      </c>
      <c r="I3" s="3" t="n">
        <v>16</v>
      </c>
      <c r="J3" s="3" t="n">
        <v>2</v>
      </c>
      <c r="K3" s="3" t="n">
        <v>0</v>
      </c>
      <c r="L3" s="13" t="n">
        <v>256</v>
      </c>
      <c r="M3" s="13" t="n">
        <v>256</v>
      </c>
      <c r="N3" s="13" t="n">
        <v>16</v>
      </c>
      <c r="O3" s="3">
        <f>C3*D3*E3/1024</f>
        <v/>
      </c>
      <c r="P3" s="3">
        <f>F3*F3*G3*H3/1024</f>
        <v/>
      </c>
      <c r="Q3" s="3">
        <f>I3*J3/1024</f>
        <v/>
      </c>
      <c r="R3" s="3">
        <f>L3*M3*N3/1024</f>
        <v/>
      </c>
      <c r="S3" s="3">
        <f>(L3*M3*N3)*(F3*F3*G3)/128</f>
        <v/>
      </c>
      <c r="T3" s="3">
        <f>(S3/$Y$2)/1000</f>
        <v/>
      </c>
      <c r="U3" s="26">
        <f>((O3*8*1024)/$T3)/1000</f>
        <v/>
      </c>
      <c r="V3" s="26">
        <f>((P3*8*1024)/$T3)/1000</f>
        <v/>
      </c>
      <c r="W3" s="26">
        <f>((Q3*8*1024)/$T3)/1000</f>
        <v/>
      </c>
      <c r="X3" s="26">
        <f>((R3*8*1024)/$T3)/1000</f>
        <v/>
      </c>
      <c r="Y3" s="45" t="inlineStr">
        <is>
          <t>Input</t>
        </is>
      </c>
    </row>
    <row r="4">
      <c r="A4" s="7" t="inlineStr">
        <is>
          <t xml:space="preserve">Stride </t>
        </is>
      </c>
      <c r="B4" s="7" t="inlineStr">
        <is>
          <t>Stride</t>
        </is>
      </c>
      <c r="C4" s="11" t="n">
        <v>256</v>
      </c>
      <c r="D4" s="11" t="n">
        <v>256</v>
      </c>
      <c r="E4" s="11" t="n">
        <v>16</v>
      </c>
      <c r="F4" s="2" t="n">
        <v>0</v>
      </c>
      <c r="G4" s="2" t="n">
        <v>0</v>
      </c>
      <c r="H4" s="2" t="n">
        <v>0</v>
      </c>
      <c r="I4" s="3" t="n">
        <v>0</v>
      </c>
      <c r="J4" s="3" t="n">
        <v>0</v>
      </c>
      <c r="K4" s="3" t="n">
        <v>0</v>
      </c>
      <c r="L4" s="13" t="n">
        <v>128</v>
      </c>
      <c r="M4" s="13" t="n">
        <v>128</v>
      </c>
      <c r="N4" s="13" t="n">
        <v>16</v>
      </c>
      <c r="O4" s="3">
        <f>C4*D4*E4/1024</f>
        <v/>
      </c>
      <c r="P4" s="3">
        <f>F4*F4*G4*H4/1024</f>
        <v/>
      </c>
      <c r="Q4" s="3">
        <f>I4*J4/1024</f>
        <v/>
      </c>
      <c r="R4" s="3">
        <f>L4*M4*N4/1024</f>
        <v/>
      </c>
      <c r="S4" s="3">
        <f>(C4*D4*E4)/128</f>
        <v/>
      </c>
      <c r="T4" s="3">
        <f>(S4/$Y$2)/1000</f>
        <v/>
      </c>
      <c r="U4" s="26">
        <f>((O4*8*1024)/$T4)/1000</f>
        <v/>
      </c>
      <c r="V4" s="26">
        <f>((P4*8*1024)/$T4)/1000</f>
        <v/>
      </c>
      <c r="W4" s="26">
        <f>((Q4*8*1024)/$T4)/1000</f>
        <v/>
      </c>
      <c r="X4" s="26">
        <f>((R4*8*1024)/$T4)/1000</f>
        <v/>
      </c>
      <c r="Y4" s="46" t="n"/>
    </row>
    <row r="5" ht="14.4" customHeight="1">
      <c r="A5" s="7" t="inlineStr">
        <is>
          <t>Conv + SiLU + BN</t>
        </is>
      </c>
      <c r="B5" s="7" t="inlineStr">
        <is>
          <t xml:space="preserve">Conv </t>
        </is>
      </c>
      <c r="C5" s="11" t="n">
        <v>128</v>
      </c>
      <c r="D5" s="11" t="n">
        <v>128</v>
      </c>
      <c r="E5" s="11" t="n">
        <v>16</v>
      </c>
      <c r="F5" s="2" t="n">
        <v>1</v>
      </c>
      <c r="G5" s="2" t="n">
        <v>16</v>
      </c>
      <c r="H5" s="2" t="n">
        <v>64</v>
      </c>
      <c r="I5" s="3" t="n">
        <v>64</v>
      </c>
      <c r="J5" s="3" t="n">
        <v>2</v>
      </c>
      <c r="K5" s="3" t="n">
        <v>0</v>
      </c>
      <c r="L5" s="13" t="n">
        <v>128</v>
      </c>
      <c r="M5" s="13" t="n">
        <v>128</v>
      </c>
      <c r="N5" s="13" t="n">
        <v>64</v>
      </c>
      <c r="O5" s="3">
        <f>C5*D5*E5/1024</f>
        <v/>
      </c>
      <c r="P5" s="3">
        <f>F5*F5*G5*H5/1024</f>
        <v/>
      </c>
      <c r="Q5" s="3">
        <f>I5*J5/1024</f>
        <v/>
      </c>
      <c r="R5" s="3">
        <f>L5*M5*N5/1024</f>
        <v/>
      </c>
      <c r="S5" s="3">
        <f>(L5*M5*N5)*(F5*F5*G5)/128</f>
        <v/>
      </c>
      <c r="T5" s="3">
        <f>(S5/$Y$2)/1000</f>
        <v/>
      </c>
      <c r="U5" s="26">
        <f>((O5*8*1024)/$T5)/1000</f>
        <v/>
      </c>
      <c r="V5" s="26">
        <f>((P5*8*1024)/$T5)/1000</f>
        <v/>
      </c>
      <c r="W5" s="26">
        <f>((Q5*8*1024)/$T5)/1000</f>
        <v/>
      </c>
      <c r="X5" s="26">
        <f>((R5*8*1024)/$T5)/1000</f>
        <v/>
      </c>
      <c r="Y5" s="44" t="inlineStr">
        <is>
          <t>MV2 Block</t>
        </is>
      </c>
    </row>
    <row r="6">
      <c r="A6" s="7" t="inlineStr">
        <is>
          <t>Conv Depth Wise + SiLU + BN</t>
        </is>
      </c>
      <c r="B6" s="7" t="inlineStr">
        <is>
          <t xml:space="preserve">Conv Depth Wise </t>
        </is>
      </c>
      <c r="C6" s="11" t="n">
        <v>128</v>
      </c>
      <c r="D6" s="11" t="n">
        <v>128</v>
      </c>
      <c r="E6" s="11" t="n">
        <v>64</v>
      </c>
      <c r="F6" s="2" t="n">
        <v>3</v>
      </c>
      <c r="G6" s="2" t="n">
        <v>1</v>
      </c>
      <c r="H6" s="2" t="n">
        <v>64</v>
      </c>
      <c r="I6" s="3" t="n">
        <v>64</v>
      </c>
      <c r="J6" s="3" t="n">
        <v>2</v>
      </c>
      <c r="K6" s="3" t="n">
        <v>0</v>
      </c>
      <c r="L6" s="13" t="n">
        <v>128</v>
      </c>
      <c r="M6" s="13" t="n">
        <v>128</v>
      </c>
      <c r="N6" s="13" t="n">
        <v>64</v>
      </c>
      <c r="O6" s="3">
        <f>C6*D6*E6/1024</f>
        <v/>
      </c>
      <c r="P6" s="3">
        <f>F6*F6*G6*H6/1024</f>
        <v/>
      </c>
      <c r="Q6" s="3">
        <f>I6*J6/1024</f>
        <v/>
      </c>
      <c r="R6" s="3">
        <f>L6*M6*N6/1024</f>
        <v/>
      </c>
      <c r="S6" s="3">
        <f>(L6*M6*N6)*(F6*F6*G6)/128</f>
        <v/>
      </c>
      <c r="T6" s="3">
        <f>(S6/$Y$2)/1000</f>
        <v/>
      </c>
      <c r="U6" s="27">
        <f>((O6*8*1024)/$T6)/1000</f>
        <v/>
      </c>
      <c r="V6" s="26">
        <f>((P6*8*1024)/$T6)/1000</f>
        <v/>
      </c>
      <c r="W6" s="26">
        <f>((Q6*8*1024)/$T6)/1000</f>
        <v/>
      </c>
      <c r="X6" s="26">
        <f>((R6*8*1024)/$T6)/1000</f>
        <v/>
      </c>
      <c r="Y6" s="47" t="n"/>
    </row>
    <row r="7">
      <c r="A7" s="7" t="inlineStr">
        <is>
          <t>Conv + BN</t>
        </is>
      </c>
      <c r="B7" s="7" t="inlineStr">
        <is>
          <t xml:space="preserve">Conv </t>
        </is>
      </c>
      <c r="C7" s="11" t="n">
        <v>128</v>
      </c>
      <c r="D7" s="11" t="n">
        <v>128</v>
      </c>
      <c r="E7" s="11" t="n">
        <v>64</v>
      </c>
      <c r="F7" s="2" t="n">
        <v>1</v>
      </c>
      <c r="G7" s="2" t="n">
        <v>64</v>
      </c>
      <c r="H7" s="2" t="n">
        <v>32</v>
      </c>
      <c r="I7" s="3" t="n">
        <v>32</v>
      </c>
      <c r="J7" s="3" t="n">
        <v>2</v>
      </c>
      <c r="K7" s="3" t="n">
        <v>0</v>
      </c>
      <c r="L7" s="13" t="n">
        <v>128</v>
      </c>
      <c r="M7" s="13" t="n">
        <v>128</v>
      </c>
      <c r="N7" s="13" t="n">
        <v>32</v>
      </c>
      <c r="O7" s="3">
        <f>C7*D7*E7/1024</f>
        <v/>
      </c>
      <c r="P7" s="3">
        <f>F7*F7*G7*H7/1024</f>
        <v/>
      </c>
      <c r="Q7" s="3">
        <f>I7*J7/1024</f>
        <v/>
      </c>
      <c r="R7" s="3">
        <f>L7*M7*N7/1024</f>
        <v/>
      </c>
      <c r="S7" s="3">
        <f>(L7*M7*N7)*(F7*F7*G7)/128</f>
        <v/>
      </c>
      <c r="T7" s="3">
        <f>(S7/$Y$2)/1000</f>
        <v/>
      </c>
      <c r="U7" s="27">
        <f>((O7*8*1024)/$T7)/1000</f>
        <v/>
      </c>
      <c r="V7" s="26">
        <f>((P7*8*1024)/$T7)/1000</f>
        <v/>
      </c>
      <c r="W7" s="26">
        <f>((Q7*8*1024)/$T7)/1000</f>
        <v/>
      </c>
      <c r="X7" s="26">
        <f>((R7*8*1024)/$T7)/1000</f>
        <v/>
      </c>
      <c r="Y7" s="48" t="n"/>
    </row>
    <row r="8" ht="14.4" customHeight="1">
      <c r="A8" s="7" t="inlineStr">
        <is>
          <t>Conv + SiLU + BN</t>
        </is>
      </c>
      <c r="B8" s="7" t="inlineStr">
        <is>
          <t xml:space="preserve">Conv </t>
        </is>
      </c>
      <c r="C8" s="11" t="n">
        <v>128</v>
      </c>
      <c r="D8" s="11" t="n">
        <v>128</v>
      </c>
      <c r="E8" s="11" t="n">
        <v>32</v>
      </c>
      <c r="F8" s="2" t="n">
        <v>1</v>
      </c>
      <c r="G8" s="2" t="n">
        <v>32</v>
      </c>
      <c r="H8" s="2" t="n">
        <v>128</v>
      </c>
      <c r="I8" s="3" t="n">
        <v>128</v>
      </c>
      <c r="J8" s="3" t="n">
        <v>2</v>
      </c>
      <c r="K8" s="3" t="n">
        <v>0</v>
      </c>
      <c r="L8" s="13" t="n">
        <v>128</v>
      </c>
      <c r="M8" s="13" t="n">
        <v>128</v>
      </c>
      <c r="N8" s="13" t="n">
        <v>128</v>
      </c>
      <c r="O8" s="3">
        <f>C8*D8*E8/1024</f>
        <v/>
      </c>
      <c r="P8" s="3">
        <f>F8*F8*G8*H8/1024</f>
        <v/>
      </c>
      <c r="Q8" s="3">
        <f>I8*J8/1024</f>
        <v/>
      </c>
      <c r="R8" s="3">
        <f>L8*M8*N8/1024</f>
        <v/>
      </c>
      <c r="S8" s="3">
        <f>(L8*M8*N8)*(F8*F8*G8)/128</f>
        <v/>
      </c>
      <c r="T8" s="3">
        <f>(S8/$Y$2)/1000</f>
        <v/>
      </c>
      <c r="U8" s="27">
        <f>((O8*8*1024)/$T8)/1000</f>
        <v/>
      </c>
      <c r="V8" s="26">
        <f>((P8*8*1024)/$T8)/1000</f>
        <v/>
      </c>
      <c r="W8" s="26">
        <f>((Q8*8*1024)/$T8)/1000</f>
        <v/>
      </c>
      <c r="X8" s="26">
        <f>((R8*8*1024)/$T8)/1000</f>
        <v/>
      </c>
      <c r="Y8" s="39" t="inlineStr">
        <is>
          <t>MV2 Block  Down Sampling Stride 2</t>
        </is>
      </c>
    </row>
    <row r="9" ht="14.4" customHeight="1">
      <c r="A9" s="7" t="inlineStr">
        <is>
          <t>Conv Depth Wise + SiLU + BN</t>
        </is>
      </c>
      <c r="B9" s="7" t="inlineStr">
        <is>
          <t xml:space="preserve">Conv Depth Wise </t>
        </is>
      </c>
      <c r="C9" s="11" t="n">
        <v>128</v>
      </c>
      <c r="D9" s="11" t="n">
        <v>128</v>
      </c>
      <c r="E9" s="11" t="n">
        <v>128</v>
      </c>
      <c r="F9" s="2" t="n">
        <v>3</v>
      </c>
      <c r="G9" s="2" t="n">
        <v>1</v>
      </c>
      <c r="H9" s="2" t="n">
        <v>128</v>
      </c>
      <c r="I9" s="3" t="n">
        <v>128</v>
      </c>
      <c r="J9" s="3" t="n">
        <v>2</v>
      </c>
      <c r="K9" s="3" t="n">
        <v>0</v>
      </c>
      <c r="L9" s="13" t="n">
        <v>128</v>
      </c>
      <c r="M9" s="13" t="n">
        <v>128</v>
      </c>
      <c r="N9" s="13" t="n">
        <v>128</v>
      </c>
      <c r="O9" s="3">
        <f>C9*D9*E9/1024</f>
        <v/>
      </c>
      <c r="P9" s="3">
        <f>F9*F9*G9*H9/1024</f>
        <v/>
      </c>
      <c r="Q9" s="3">
        <f>I9*J9/1024</f>
        <v/>
      </c>
      <c r="R9" s="3">
        <f>L9*M9*N9/1024</f>
        <v/>
      </c>
      <c r="S9" s="3">
        <f>(L9*M9*N9)*(F9*F9*G9)/128</f>
        <v/>
      </c>
      <c r="T9" s="3">
        <f>(S9/$Y$2)/1000</f>
        <v/>
      </c>
      <c r="U9" s="27">
        <f>((O9*8*1024)/$T9)/1000</f>
        <v/>
      </c>
      <c r="V9" s="26">
        <f>((P9*8*1024)/$T9)/1000</f>
        <v/>
      </c>
      <c r="W9" s="26">
        <f>((Q9*8*1024)/$T9)/1000</f>
        <v/>
      </c>
      <c r="X9" s="26">
        <f>((R9*8*1024)/$T9)/1000</f>
        <v/>
      </c>
      <c r="Y9" s="47" t="n"/>
    </row>
    <row r="10">
      <c r="A10" s="7" t="inlineStr">
        <is>
          <t xml:space="preserve">Stride </t>
        </is>
      </c>
      <c r="B10" s="7" t="inlineStr">
        <is>
          <t>Stride</t>
        </is>
      </c>
      <c r="C10" s="11" t="n">
        <v>128</v>
      </c>
      <c r="D10" s="11" t="n">
        <v>128</v>
      </c>
      <c r="E10" s="11" t="n">
        <v>128</v>
      </c>
      <c r="F10" s="2" t="n">
        <v>0</v>
      </c>
      <c r="G10" s="2" t="n">
        <v>0</v>
      </c>
      <c r="H10" s="2" t="n">
        <v>0</v>
      </c>
      <c r="I10" s="3" t="n">
        <v>0</v>
      </c>
      <c r="J10" s="3" t="n">
        <v>0</v>
      </c>
      <c r="K10" s="3" t="n">
        <v>0</v>
      </c>
      <c r="L10" s="13" t="n">
        <v>64</v>
      </c>
      <c r="M10" s="13" t="n">
        <v>64</v>
      </c>
      <c r="N10" s="13" t="n">
        <v>128</v>
      </c>
      <c r="O10" s="3">
        <f>C10*D10*E10/1024</f>
        <v/>
      </c>
      <c r="P10" s="3">
        <f>F10*F10*G10*H10/1024</f>
        <v/>
      </c>
      <c r="Q10" s="3">
        <f>I10*J10/1024</f>
        <v/>
      </c>
      <c r="R10" s="3">
        <f>L10*M10*N10/1024</f>
        <v/>
      </c>
      <c r="S10" s="3">
        <f>(C10*D10*E10)/128</f>
        <v/>
      </c>
      <c r="T10" s="3">
        <f>(S10/$Y$2)/1000</f>
        <v/>
      </c>
      <c r="U10" s="27">
        <f>((O10*8*1024)/$T10)/1000</f>
        <v/>
      </c>
      <c r="V10" s="26">
        <f>((P10*8*1024)/$T10)/1000</f>
        <v/>
      </c>
      <c r="W10" s="26">
        <f>((Q10*8*1024)/$T10)/1000</f>
        <v/>
      </c>
      <c r="X10" s="26">
        <f>((R10*8*1024)/$T10)/1000</f>
        <v/>
      </c>
      <c r="Y10" s="47" t="n"/>
    </row>
    <row r="11">
      <c r="A11" s="7" t="inlineStr">
        <is>
          <t>Conv + BN</t>
        </is>
      </c>
      <c r="B11" s="7" t="inlineStr">
        <is>
          <t xml:space="preserve">Conv </t>
        </is>
      </c>
      <c r="C11" s="11" t="n">
        <v>64</v>
      </c>
      <c r="D11" s="11" t="n">
        <v>64</v>
      </c>
      <c r="E11" s="11" t="n">
        <v>128</v>
      </c>
      <c r="F11" s="2" t="n">
        <v>1</v>
      </c>
      <c r="G11" s="2" t="n">
        <v>128</v>
      </c>
      <c r="H11" s="2" t="n">
        <v>64</v>
      </c>
      <c r="I11" s="3" t="n">
        <v>64</v>
      </c>
      <c r="J11" s="3" t="n">
        <v>2</v>
      </c>
      <c r="K11" s="3" t="n">
        <v>0</v>
      </c>
      <c r="L11" s="13" t="n">
        <v>64</v>
      </c>
      <c r="M11" s="13" t="n">
        <v>64</v>
      </c>
      <c r="N11" s="13" t="n">
        <v>64</v>
      </c>
      <c r="O11" s="3">
        <f>C11*D11*E11/1024</f>
        <v/>
      </c>
      <c r="P11" s="3">
        <f>F11*F11*G11*H11/1024</f>
        <v/>
      </c>
      <c r="Q11" s="3">
        <f>I11*J11/1024</f>
        <v/>
      </c>
      <c r="R11" s="3">
        <f>L11*M11*N11/1024</f>
        <v/>
      </c>
      <c r="S11" s="3">
        <f>(L11*M11*N11)*(F11*F11*G11)/128</f>
        <v/>
      </c>
      <c r="T11" s="3">
        <f>(S11/$Y$2)/1000</f>
        <v/>
      </c>
      <c r="U11" s="27">
        <f>((O11*8*1024)/$T11)/1000</f>
        <v/>
      </c>
      <c r="V11" s="26">
        <f>((P11*8*1024)/$T11)/1000</f>
        <v/>
      </c>
      <c r="W11" s="26">
        <f>((Q11*8*1024)/$T11)/1000</f>
        <v/>
      </c>
      <c r="X11" s="26">
        <f>((R11*8*1024)/$T11)/1000</f>
        <v/>
      </c>
      <c r="Y11" s="47" t="n"/>
    </row>
    <row r="12">
      <c r="A12" s="7" t="inlineStr">
        <is>
          <t>Conv + SiLU + BN</t>
        </is>
      </c>
      <c r="B12" s="7" t="inlineStr">
        <is>
          <t xml:space="preserve">Conv </t>
        </is>
      </c>
      <c r="C12" s="11" t="n">
        <v>64</v>
      </c>
      <c r="D12" s="11" t="n">
        <v>64</v>
      </c>
      <c r="E12" s="11" t="n">
        <v>64</v>
      </c>
      <c r="F12" s="2" t="n">
        <v>1</v>
      </c>
      <c r="G12" s="2" t="n">
        <v>64</v>
      </c>
      <c r="H12" s="2" t="n">
        <v>256</v>
      </c>
      <c r="I12" s="3" t="n">
        <v>256</v>
      </c>
      <c r="J12" s="3" t="n">
        <v>2</v>
      </c>
      <c r="K12" s="3" t="n">
        <v>0</v>
      </c>
      <c r="L12" s="13" t="n">
        <v>64</v>
      </c>
      <c r="M12" s="13" t="n">
        <v>64</v>
      </c>
      <c r="N12" s="13" t="n">
        <v>256</v>
      </c>
      <c r="O12" s="3">
        <f>C12*D12*E12/1024</f>
        <v/>
      </c>
      <c r="P12" s="3">
        <f>F12*F12*G12*H12/1024</f>
        <v/>
      </c>
      <c r="Q12" s="3">
        <f>I12*J12/1024</f>
        <v/>
      </c>
      <c r="R12" s="3">
        <f>L12*M12*N12/1024</f>
        <v/>
      </c>
      <c r="S12" s="3">
        <f>(L12*M12*N12)*(F12*F12*G12)/128</f>
        <v/>
      </c>
      <c r="T12" s="3">
        <f>(S12/$Y$2)/1000</f>
        <v/>
      </c>
      <c r="U12" s="27">
        <f>((O12*8*1024)/$T12)/1000</f>
        <v/>
      </c>
      <c r="V12" s="26">
        <f>((P12*8*1024)/$T12)/1000</f>
        <v/>
      </c>
      <c r="W12" s="26">
        <f>((Q12*8*1024)/$T12)/1000</f>
        <v/>
      </c>
      <c r="X12" s="26">
        <f>((R12*8*1024)/$T12)/1000</f>
        <v/>
      </c>
      <c r="Y12" s="44" t="inlineStr">
        <is>
          <t>MV2 Block Residual</t>
        </is>
      </c>
    </row>
    <row r="13" ht="14.4" customHeight="1">
      <c r="A13" s="7" t="inlineStr">
        <is>
          <t>Conv Depth Wise + SiLU + BN</t>
        </is>
      </c>
      <c r="B13" s="7" t="inlineStr">
        <is>
          <t xml:space="preserve">Conv Depth Wise </t>
        </is>
      </c>
      <c r="C13" s="11" t="n">
        <v>64</v>
      </c>
      <c r="D13" s="11" t="n">
        <v>64</v>
      </c>
      <c r="E13" s="11" t="n">
        <v>256</v>
      </c>
      <c r="F13" s="2" t="n">
        <v>3</v>
      </c>
      <c r="G13" s="2" t="n">
        <v>1</v>
      </c>
      <c r="H13" s="2" t="n">
        <v>256</v>
      </c>
      <c r="I13" s="3" t="n">
        <v>256</v>
      </c>
      <c r="J13" s="3" t="n">
        <v>2</v>
      </c>
      <c r="K13" s="3" t="n">
        <v>0</v>
      </c>
      <c r="L13" s="13" t="n">
        <v>64</v>
      </c>
      <c r="M13" s="13" t="n">
        <v>64</v>
      </c>
      <c r="N13" s="13" t="n">
        <v>256</v>
      </c>
      <c r="O13" s="3">
        <f>C13*D13*E13/1024</f>
        <v/>
      </c>
      <c r="P13" s="3">
        <f>F13*F13*G13*H13/1024</f>
        <v/>
      </c>
      <c r="Q13" s="3">
        <f>I13*J13/1024</f>
        <v/>
      </c>
      <c r="R13" s="3">
        <f>L13*M13*N13/1024</f>
        <v/>
      </c>
      <c r="S13" s="3">
        <f>(L13*M13*N13)*(F13*F13*G13)/128</f>
        <v/>
      </c>
      <c r="T13" s="3">
        <f>(S13/$Y$2)/1000</f>
        <v/>
      </c>
      <c r="U13" s="27">
        <f>((O13*8*1024)/$T13)/1000</f>
        <v/>
      </c>
      <c r="V13" s="26">
        <f>((P13*8*1024)/$T13)/1000</f>
        <v/>
      </c>
      <c r="W13" s="26">
        <f>((Q13*8*1024)/$T13)/1000</f>
        <v/>
      </c>
      <c r="X13" s="26">
        <f>((R13*8*1024)/$T13)/1000</f>
        <v/>
      </c>
      <c r="Y13" s="47" t="n"/>
    </row>
    <row r="14">
      <c r="A14" s="7" t="inlineStr">
        <is>
          <t>Conv + BN</t>
        </is>
      </c>
      <c r="B14" s="7" t="inlineStr">
        <is>
          <t xml:space="preserve">Conv </t>
        </is>
      </c>
      <c r="C14" s="11" t="n">
        <v>64</v>
      </c>
      <c r="D14" s="11" t="n">
        <v>64</v>
      </c>
      <c r="E14" s="11" t="n">
        <v>256</v>
      </c>
      <c r="F14" s="2" t="n">
        <v>1</v>
      </c>
      <c r="G14" s="2" t="n">
        <v>256</v>
      </c>
      <c r="H14" s="2" t="n">
        <v>64</v>
      </c>
      <c r="I14" s="3" t="n">
        <v>32</v>
      </c>
      <c r="J14" s="3" t="n">
        <v>2</v>
      </c>
      <c r="K14" s="3" t="n">
        <v>0</v>
      </c>
      <c r="L14" s="13" t="n">
        <v>64</v>
      </c>
      <c r="M14" s="13" t="n">
        <v>64</v>
      </c>
      <c r="N14" s="13" t="n">
        <v>64</v>
      </c>
      <c r="O14" s="3">
        <f>C14*D14*E14/1024</f>
        <v/>
      </c>
      <c r="P14" s="3">
        <f>F14*F14*G14*H14/1024</f>
        <v/>
      </c>
      <c r="Q14" s="3">
        <f>I14*J14/1024</f>
        <v/>
      </c>
      <c r="R14" s="3">
        <f>L14*M14*N14/1024</f>
        <v/>
      </c>
      <c r="S14" s="3">
        <f>(L14*M14*N14)*(F14*F14*G14)/128</f>
        <v/>
      </c>
      <c r="T14" s="3">
        <f>(S14/$Y$2)/1000</f>
        <v/>
      </c>
      <c r="U14" s="27">
        <f>((O14*8*1024)/$T14)/1000</f>
        <v/>
      </c>
      <c r="V14" s="26">
        <f>((P14*8*1024)/$T14)/1000</f>
        <v/>
      </c>
      <c r="W14" s="26">
        <f>((Q14*8*1024)/$T14)/1000</f>
        <v/>
      </c>
      <c r="X14" s="26">
        <f>((R14*8*1024)/$T14)/1000</f>
        <v/>
      </c>
      <c r="Y14" s="47" t="n"/>
    </row>
    <row r="15">
      <c r="A15" s="7" t="inlineStr">
        <is>
          <t xml:space="preserve">Residual </t>
        </is>
      </c>
      <c r="B15" s="7" t="inlineStr">
        <is>
          <t>Residual</t>
        </is>
      </c>
      <c r="C15" s="11" t="n">
        <v>64</v>
      </c>
      <c r="D15" s="11" t="n">
        <v>64</v>
      </c>
      <c r="E15" s="11" t="n">
        <v>64</v>
      </c>
      <c r="F15" s="2" t="n">
        <v>64</v>
      </c>
      <c r="G15" s="2" t="n">
        <v>64</v>
      </c>
      <c r="H15" s="2" t="n">
        <v>64</v>
      </c>
      <c r="I15" s="3" t="n">
        <v>0</v>
      </c>
      <c r="J15" s="3" t="n">
        <v>0</v>
      </c>
      <c r="K15" s="3" t="n">
        <v>0</v>
      </c>
      <c r="L15" s="13" t="n">
        <v>64</v>
      </c>
      <c r="M15" s="13" t="n">
        <v>64</v>
      </c>
      <c r="N15" s="13" t="n">
        <v>64</v>
      </c>
      <c r="O15" s="3">
        <f>C15*D15*E15/1024</f>
        <v/>
      </c>
      <c r="P15" s="3">
        <f>F15*G15*H15/1024</f>
        <v/>
      </c>
      <c r="Q15" s="3">
        <f>I15*J15*K15</f>
        <v/>
      </c>
      <c r="R15" s="3">
        <f>L15*M15*N15/1024</f>
        <v/>
      </c>
      <c r="S15" s="3">
        <f>C15*D15*E15/128</f>
        <v/>
      </c>
      <c r="T15" s="3">
        <f>(S15/$Y$2)/1000</f>
        <v/>
      </c>
      <c r="U15" s="27">
        <f>((O15*8*1024)/$T15)/1000</f>
        <v/>
      </c>
      <c r="V15" s="26">
        <f>((P15*8*1024)/$T15)/1000</f>
        <v/>
      </c>
      <c r="W15" s="26">
        <f>((Q15*8*1024)/$T15)/1000</f>
        <v/>
      </c>
      <c r="X15" s="26">
        <f>((R15*8*1024)/$T15)/1000</f>
        <v/>
      </c>
      <c r="Y15" s="48" t="n"/>
    </row>
    <row r="16">
      <c r="A16" s="7" t="inlineStr">
        <is>
          <t>Conv + SiLU + BN</t>
        </is>
      </c>
      <c r="B16" s="7" t="inlineStr">
        <is>
          <t xml:space="preserve">Conv </t>
        </is>
      </c>
      <c r="C16" s="11" t="n">
        <v>64</v>
      </c>
      <c r="D16" s="11" t="n">
        <v>64</v>
      </c>
      <c r="E16" s="11" t="n">
        <v>64</v>
      </c>
      <c r="F16" s="2" t="n">
        <v>1</v>
      </c>
      <c r="G16" s="2" t="n">
        <v>64</v>
      </c>
      <c r="H16" s="2" t="n">
        <v>256</v>
      </c>
      <c r="I16" s="3" t="n">
        <v>256</v>
      </c>
      <c r="J16" s="3" t="n">
        <v>2</v>
      </c>
      <c r="K16" s="3" t="n">
        <v>0</v>
      </c>
      <c r="L16" s="13" t="n">
        <v>64</v>
      </c>
      <c r="M16" s="13" t="n">
        <v>64</v>
      </c>
      <c r="N16" s="13" t="n">
        <v>256</v>
      </c>
      <c r="O16" s="3">
        <f>C16*D16*E16/1024</f>
        <v/>
      </c>
      <c r="P16" s="3">
        <f>F16*F16*G16*H16/1024</f>
        <v/>
      </c>
      <c r="Q16" s="3">
        <f>I16*J16/1024</f>
        <v/>
      </c>
      <c r="R16" s="3">
        <f>L16*M16*N16/1024</f>
        <v/>
      </c>
      <c r="S16" s="3">
        <f>(L16*M16*N16)*(F16*F16*G16)/128</f>
        <v/>
      </c>
      <c r="T16" s="3">
        <f>(S16/$Y$2)/1000</f>
        <v/>
      </c>
      <c r="U16" s="27">
        <f>((O16*8*1024)/$T16)/1000</f>
        <v/>
      </c>
      <c r="V16" s="26">
        <f>((P16*8*1024)/$T16)/1000</f>
        <v/>
      </c>
      <c r="W16" s="26">
        <f>((Q16*8*1024)/$T16)/1000</f>
        <v/>
      </c>
      <c r="X16" s="26">
        <f>((R16*8*1024)/$T16)/1000</f>
        <v/>
      </c>
      <c r="Y16" s="44" t="inlineStr">
        <is>
          <t>MV2 Block Residual</t>
        </is>
      </c>
    </row>
    <row r="17" ht="14.4" customHeight="1">
      <c r="A17" s="7" t="inlineStr">
        <is>
          <t>Conv Depth Wise + SiLU + BN</t>
        </is>
      </c>
      <c r="B17" s="7" t="inlineStr">
        <is>
          <t xml:space="preserve">Conv Depth Wise </t>
        </is>
      </c>
      <c r="C17" s="11" t="n">
        <v>64</v>
      </c>
      <c r="D17" s="11" t="n">
        <v>64</v>
      </c>
      <c r="E17" s="11" t="n">
        <v>256</v>
      </c>
      <c r="F17" s="2" t="n">
        <v>3</v>
      </c>
      <c r="G17" s="2" t="n">
        <v>1</v>
      </c>
      <c r="H17" s="2" t="n">
        <v>256</v>
      </c>
      <c r="I17" s="3" t="n">
        <v>256</v>
      </c>
      <c r="J17" s="3" t="n">
        <v>2</v>
      </c>
      <c r="K17" s="3" t="n">
        <v>0</v>
      </c>
      <c r="L17" s="13" t="n">
        <v>64</v>
      </c>
      <c r="M17" s="13" t="n">
        <v>64</v>
      </c>
      <c r="N17" s="13" t="n">
        <v>256</v>
      </c>
      <c r="O17" s="3">
        <f>C17*D17*E17/1024</f>
        <v/>
      </c>
      <c r="P17" s="3">
        <f>F17*F17*G17*H17/1024</f>
        <v/>
      </c>
      <c r="Q17" s="3">
        <f>I17*J17/1024</f>
        <v/>
      </c>
      <c r="R17" s="3">
        <f>L17*M17*N17/1024</f>
        <v/>
      </c>
      <c r="S17" s="3">
        <f>(L17*M17*N17)*(F17*F17*G17)/128</f>
        <v/>
      </c>
      <c r="T17" s="3">
        <f>(S17/$Y$2)/1000</f>
        <v/>
      </c>
      <c r="U17" s="27">
        <f>((O17*8*1024)/$T17)/1000</f>
        <v/>
      </c>
      <c r="V17" s="26">
        <f>((P17*8*1024)/$T17)/1000</f>
        <v/>
      </c>
      <c r="W17" s="26">
        <f>((Q17*8*1024)/$T17)/1000</f>
        <v/>
      </c>
      <c r="X17" s="26">
        <f>((R17*8*1024)/$T17)/1000</f>
        <v/>
      </c>
      <c r="Y17" s="47" t="n"/>
    </row>
    <row r="18">
      <c r="A18" s="7" t="inlineStr">
        <is>
          <t>Conv + BN</t>
        </is>
      </c>
      <c r="B18" s="7" t="inlineStr">
        <is>
          <t xml:space="preserve">Conv </t>
        </is>
      </c>
      <c r="C18" s="11" t="n">
        <v>64</v>
      </c>
      <c r="D18" s="11" t="n">
        <v>64</v>
      </c>
      <c r="E18" s="11" t="n">
        <v>256</v>
      </c>
      <c r="F18" s="2" t="n">
        <v>1</v>
      </c>
      <c r="G18" s="2" t="n">
        <v>256</v>
      </c>
      <c r="H18" s="2" t="n">
        <v>64</v>
      </c>
      <c r="I18" s="3" t="n">
        <v>32</v>
      </c>
      <c r="J18" s="3" t="n">
        <v>2</v>
      </c>
      <c r="K18" s="3" t="n">
        <v>0</v>
      </c>
      <c r="L18" s="13" t="n">
        <v>64</v>
      </c>
      <c r="M18" s="13" t="n">
        <v>64</v>
      </c>
      <c r="N18" s="13" t="n">
        <v>64</v>
      </c>
      <c r="O18" s="3">
        <f>C18*D18*E18/1024</f>
        <v/>
      </c>
      <c r="P18" s="3">
        <f>F18*F18*G18*H18/1024</f>
        <v/>
      </c>
      <c r="Q18" s="3">
        <f>I18*J18/1024</f>
        <v/>
      </c>
      <c r="R18" s="3">
        <f>L18*M18*N18/1024</f>
        <v/>
      </c>
      <c r="S18" s="3">
        <f>(L18*M18*N18)*(F18*F18*G18)/128</f>
        <v/>
      </c>
      <c r="T18" s="3">
        <f>(S18/$Y$2)/1000</f>
        <v/>
      </c>
      <c r="U18" s="27">
        <f>((O18*8*1024)/$T18)/1000</f>
        <v/>
      </c>
      <c r="V18" s="26">
        <f>((P18*8*1024)/$T18)/1000</f>
        <v/>
      </c>
      <c r="W18" s="26">
        <f>((Q18*8*1024)/$T18)/1000</f>
        <v/>
      </c>
      <c r="X18" s="26">
        <f>((R18*8*1024)/$T18)/1000</f>
        <v/>
      </c>
      <c r="Y18" s="47" t="n"/>
    </row>
    <row r="19">
      <c r="A19" s="7" t="inlineStr">
        <is>
          <t xml:space="preserve">Residual </t>
        </is>
      </c>
      <c r="B19" s="7" t="inlineStr">
        <is>
          <t>Residual</t>
        </is>
      </c>
      <c r="C19" s="11" t="n">
        <v>64</v>
      </c>
      <c r="D19" s="11" t="n">
        <v>64</v>
      </c>
      <c r="E19" s="11" t="n">
        <v>64</v>
      </c>
      <c r="F19" s="2" t="n">
        <v>64</v>
      </c>
      <c r="G19" s="2" t="n">
        <v>64</v>
      </c>
      <c r="H19" s="2" t="n">
        <v>64</v>
      </c>
      <c r="I19" s="3" t="n">
        <v>0</v>
      </c>
      <c r="J19" s="3" t="n">
        <v>0</v>
      </c>
      <c r="K19" s="3" t="n">
        <v>0</v>
      </c>
      <c r="L19" s="13" t="n">
        <v>64</v>
      </c>
      <c r="M19" s="13" t="n">
        <v>64</v>
      </c>
      <c r="N19" s="13" t="n">
        <v>64</v>
      </c>
      <c r="O19" s="3">
        <f>C19*D19*E19/1024</f>
        <v/>
      </c>
      <c r="P19" s="3">
        <f>F19*G19*H19/1024</f>
        <v/>
      </c>
      <c r="Q19" s="3">
        <f>I19*J19*K19</f>
        <v/>
      </c>
      <c r="R19" s="3">
        <f>L19*M19*N19/1024</f>
        <v/>
      </c>
      <c r="S19" s="3">
        <f>C19*D19*E19/128</f>
        <v/>
      </c>
      <c r="T19" s="3">
        <f>(S19/$Y$2)/1000</f>
        <v/>
      </c>
      <c r="U19" s="27">
        <f>((O19*8*1024)/$T19)/1000</f>
        <v/>
      </c>
      <c r="V19" s="26">
        <f>((P19*8*1024)/$T19)/1000</f>
        <v/>
      </c>
      <c r="W19" s="26">
        <f>((Q19*8*1024)/$T19)/1000</f>
        <v/>
      </c>
      <c r="X19" s="26">
        <f>((R19*8*1024)/$T19)/1000</f>
        <v/>
      </c>
      <c r="Y19" s="48" t="n"/>
    </row>
    <row r="20">
      <c r="A20" s="7" t="inlineStr">
        <is>
          <t>Conv + SiLU + BN</t>
        </is>
      </c>
      <c r="B20" s="7" t="inlineStr">
        <is>
          <t xml:space="preserve">Conv </t>
        </is>
      </c>
      <c r="C20" s="11" t="n">
        <v>64</v>
      </c>
      <c r="D20" s="11" t="n">
        <v>64</v>
      </c>
      <c r="E20" s="11" t="n">
        <v>64</v>
      </c>
      <c r="F20" s="2" t="n">
        <v>1</v>
      </c>
      <c r="G20" s="2" t="n">
        <v>64</v>
      </c>
      <c r="H20" s="2" t="n">
        <v>256</v>
      </c>
      <c r="I20" s="3" t="n">
        <v>256</v>
      </c>
      <c r="J20" s="3" t="n">
        <v>2</v>
      </c>
      <c r="K20" s="3" t="n">
        <v>0</v>
      </c>
      <c r="L20" s="13" t="n">
        <v>64</v>
      </c>
      <c r="M20" s="13" t="n">
        <v>64</v>
      </c>
      <c r="N20" s="13" t="n">
        <v>256</v>
      </c>
      <c r="O20" s="3">
        <f>C20*D20*E20/1024</f>
        <v/>
      </c>
      <c r="P20" s="3">
        <f>F20*F20*G20*H20/1024</f>
        <v/>
      </c>
      <c r="Q20" s="3">
        <f>I20*J20/1024</f>
        <v/>
      </c>
      <c r="R20" s="3">
        <f>L20*M20*N20/1024</f>
        <v/>
      </c>
      <c r="S20" s="3">
        <f>(L20*M20*N20)*(F20*F20*G20)/128</f>
        <v/>
      </c>
      <c r="T20" s="3">
        <f>(S20/$Y$2)/1000</f>
        <v/>
      </c>
      <c r="U20" s="27">
        <f>((O20*8*1024)/$T20)/1000</f>
        <v/>
      </c>
      <c r="V20" s="26">
        <f>((P20*8*1024)/$T20)/1000</f>
        <v/>
      </c>
      <c r="W20" s="26">
        <f>((Q20*8*1024)/$T20)/1000</f>
        <v/>
      </c>
      <c r="X20" s="26">
        <f>((R20*8*1024)/$T20)/1000</f>
        <v/>
      </c>
      <c r="Y20" s="39" t="inlineStr">
        <is>
          <t>MV2 Block  Down Sampling Stride 2</t>
        </is>
      </c>
    </row>
    <row r="21">
      <c r="A21" s="7" t="inlineStr">
        <is>
          <t>Conv Depth Wise + SiLU + BN</t>
        </is>
      </c>
      <c r="B21" s="7" t="inlineStr">
        <is>
          <t xml:space="preserve">Conv Depth Wise </t>
        </is>
      </c>
      <c r="C21" s="11" t="n">
        <v>64</v>
      </c>
      <c r="D21" s="11" t="n">
        <v>64</v>
      </c>
      <c r="E21" s="11" t="n">
        <v>256</v>
      </c>
      <c r="F21" s="2" t="n">
        <v>3</v>
      </c>
      <c r="G21" s="2" t="n">
        <v>1</v>
      </c>
      <c r="H21" s="2" t="n">
        <v>256</v>
      </c>
      <c r="I21" s="3" t="n">
        <v>256</v>
      </c>
      <c r="J21" s="3" t="n">
        <v>2</v>
      </c>
      <c r="K21" s="3" t="n">
        <v>0</v>
      </c>
      <c r="L21" s="13" t="n">
        <v>64</v>
      </c>
      <c r="M21" s="13" t="n">
        <v>64</v>
      </c>
      <c r="N21" s="13" t="n">
        <v>256</v>
      </c>
      <c r="O21" s="3">
        <f>C21*D21*E21/1024</f>
        <v/>
      </c>
      <c r="P21" s="3">
        <f>F21*F21*G21*H21/1024</f>
        <v/>
      </c>
      <c r="Q21" s="3">
        <f>I21*J21/1024</f>
        <v/>
      </c>
      <c r="R21" s="3">
        <f>L21*M21*N21/1024</f>
        <v/>
      </c>
      <c r="S21" s="3">
        <f>(L21*M21*N21)*(F21*F21*G21)/128</f>
        <v/>
      </c>
      <c r="T21" s="3">
        <f>(S21/$Y$2)/1000</f>
        <v/>
      </c>
      <c r="U21" s="27">
        <f>((O21*8*1024)/$T21)/1000</f>
        <v/>
      </c>
      <c r="V21" s="26">
        <f>((P21*8*1024)/$T21)/1000</f>
        <v/>
      </c>
      <c r="W21" s="26">
        <f>((Q21*8*1024)/$T21)/1000</f>
        <v/>
      </c>
      <c r="X21" s="26">
        <f>((R21*8*1024)/$T21)/1000</f>
        <v/>
      </c>
      <c r="Y21" s="47" t="n"/>
    </row>
    <row r="22">
      <c r="A22" s="7" t="inlineStr">
        <is>
          <t xml:space="preserve">Stride </t>
        </is>
      </c>
      <c r="B22" s="7" t="inlineStr">
        <is>
          <t>Stride</t>
        </is>
      </c>
      <c r="C22" s="11" t="n">
        <v>64</v>
      </c>
      <c r="D22" s="11" t="n">
        <v>64</v>
      </c>
      <c r="E22" s="11" t="n">
        <v>256</v>
      </c>
      <c r="F22" s="2" t="n">
        <v>0</v>
      </c>
      <c r="G22" s="2" t="n">
        <v>0</v>
      </c>
      <c r="H22" s="2" t="n">
        <v>0</v>
      </c>
      <c r="I22" s="3" t="n">
        <v>0</v>
      </c>
      <c r="J22" s="3" t="n">
        <v>0</v>
      </c>
      <c r="K22" s="3" t="n">
        <v>0</v>
      </c>
      <c r="L22" s="13" t="n">
        <v>32</v>
      </c>
      <c r="M22" s="13" t="n">
        <v>32</v>
      </c>
      <c r="N22" s="13" t="n">
        <v>256</v>
      </c>
      <c r="O22" s="3">
        <f>C22*D22*E22/1024</f>
        <v/>
      </c>
      <c r="P22" s="3">
        <f>F22*F22*G22*H22/1024</f>
        <v/>
      </c>
      <c r="Q22" s="3">
        <f>I22*J22/1024</f>
        <v/>
      </c>
      <c r="R22" s="3">
        <f>L22*M22*N22/1024</f>
        <v/>
      </c>
      <c r="S22" s="3">
        <f>(C22*D22*E22)/128</f>
        <v/>
      </c>
      <c r="T22" s="3">
        <f>(S22/$Y$2)/1000</f>
        <v/>
      </c>
      <c r="U22" s="26">
        <f>((O22*8*1024)/$T22)/1000</f>
        <v/>
      </c>
      <c r="V22" s="26">
        <f>((P22*8*1024)/$T22)/1000</f>
        <v/>
      </c>
      <c r="W22" s="26">
        <f>((Q22*8*1024)/$T22)/1000</f>
        <v/>
      </c>
      <c r="X22" s="26">
        <f>((R22*8*1024)/$T22)/1000</f>
        <v/>
      </c>
      <c r="Y22" s="47" t="n"/>
    </row>
    <row r="23">
      <c r="A23" s="7" t="inlineStr">
        <is>
          <t>Conv + BN</t>
        </is>
      </c>
      <c r="B23" s="7" t="inlineStr">
        <is>
          <t xml:space="preserve">Conv </t>
        </is>
      </c>
      <c r="C23" s="11" t="n">
        <v>32</v>
      </c>
      <c r="D23" s="11" t="n">
        <v>32</v>
      </c>
      <c r="E23" s="11" t="n">
        <v>256</v>
      </c>
      <c r="F23" s="2" t="n">
        <v>1</v>
      </c>
      <c r="G23" s="2" t="n">
        <v>256</v>
      </c>
      <c r="H23" s="2" t="n">
        <v>96</v>
      </c>
      <c r="I23" s="3" t="n">
        <v>96</v>
      </c>
      <c r="J23" s="3" t="n">
        <v>2</v>
      </c>
      <c r="K23" s="3" t="n">
        <v>0</v>
      </c>
      <c r="L23" s="13" t="n">
        <v>32</v>
      </c>
      <c r="M23" s="13" t="n">
        <v>32</v>
      </c>
      <c r="N23" s="13" t="n">
        <v>96</v>
      </c>
      <c r="O23" s="3">
        <f>C23*D23*E23/1024</f>
        <v/>
      </c>
      <c r="P23" s="3">
        <f>F23*F23*G23*H23/1024</f>
        <v/>
      </c>
      <c r="Q23" s="3">
        <f>I23*J23/1024</f>
        <v/>
      </c>
      <c r="R23" s="3">
        <f>L23*M23*N23/1024</f>
        <v/>
      </c>
      <c r="S23" s="3">
        <f>(L23*M23*N23)*(F23*F23*G23)/128</f>
        <v/>
      </c>
      <c r="T23" s="3">
        <f>(S23/$Y$2)/1000</f>
        <v/>
      </c>
      <c r="U23" s="26">
        <f>((O23*8*1024)/$T23)/1000</f>
        <v/>
      </c>
      <c r="V23" s="26">
        <f>((P23*8*1024)/$T23)/1000</f>
        <v/>
      </c>
      <c r="W23" s="26">
        <f>((Q23*8*1024)/$T23)/1000</f>
        <v/>
      </c>
      <c r="X23" s="26">
        <f>((R23*8*1024)/$T23)/1000</f>
        <v/>
      </c>
      <c r="Y23" s="47" t="n"/>
    </row>
    <row r="24">
      <c r="A24" s="7" t="inlineStr">
        <is>
          <t>Conv + BN + SiLU</t>
        </is>
      </c>
      <c r="B24" s="7" t="inlineStr">
        <is>
          <t xml:space="preserve">Conv </t>
        </is>
      </c>
      <c r="C24" s="11" t="n">
        <v>32</v>
      </c>
      <c r="D24" s="11" t="n">
        <v>32</v>
      </c>
      <c r="E24" s="11" t="n">
        <v>96</v>
      </c>
      <c r="F24" s="2" t="n">
        <v>3</v>
      </c>
      <c r="G24" s="2" t="n">
        <v>96</v>
      </c>
      <c r="H24" s="2" t="n">
        <v>96</v>
      </c>
      <c r="I24" s="3" t="n">
        <v>96</v>
      </c>
      <c r="J24" s="3" t="n">
        <v>2</v>
      </c>
      <c r="K24" s="3" t="n">
        <v>0</v>
      </c>
      <c r="L24" s="13" t="n">
        <v>32</v>
      </c>
      <c r="M24" s="13" t="n">
        <v>32</v>
      </c>
      <c r="N24" s="13" t="n">
        <v>96</v>
      </c>
      <c r="O24" s="3">
        <f>C24*D24*E24/1024</f>
        <v/>
      </c>
      <c r="P24" s="3">
        <f>F24*F24*G24*H24/1024</f>
        <v/>
      </c>
      <c r="Q24" s="3">
        <f>I24*J24/1024</f>
        <v/>
      </c>
      <c r="R24" s="3">
        <f>L24*M24*N24/1024</f>
        <v/>
      </c>
      <c r="S24" s="3">
        <f>(L24*M24*N24)*(F24*F24*G24)/128</f>
        <v/>
      </c>
      <c r="T24" s="3">
        <f>(S24/$Y$2)/1000</f>
        <v/>
      </c>
      <c r="U24" s="26">
        <f>((O24*8*1024)/$T24)/1000</f>
        <v/>
      </c>
      <c r="V24" s="26">
        <f>((P24*8*1024)/$T24)/1000</f>
        <v/>
      </c>
      <c r="W24" s="26">
        <f>((Q24*8*1024)/$T24)/1000</f>
        <v/>
      </c>
      <c r="X24" s="26">
        <f>((R24*8*1024)/$T24)/1000</f>
        <v/>
      </c>
      <c r="Y24" s="34" t="inlineStr">
        <is>
          <t>Local rep</t>
        </is>
      </c>
    </row>
    <row r="25">
      <c r="A25" s="7" t="inlineStr">
        <is>
          <t>Conv + BN + SiLU</t>
        </is>
      </c>
      <c r="B25" s="7" t="inlineStr">
        <is>
          <t xml:space="preserve">Conv </t>
        </is>
      </c>
      <c r="C25" s="11" t="n">
        <v>32</v>
      </c>
      <c r="D25" s="11" t="n">
        <v>32</v>
      </c>
      <c r="E25" s="11" t="n">
        <v>96</v>
      </c>
      <c r="F25" s="2" t="n">
        <v>1</v>
      </c>
      <c r="G25" s="2" t="n">
        <v>96</v>
      </c>
      <c r="H25" s="2" t="n">
        <v>144</v>
      </c>
      <c r="I25" s="3" t="n">
        <v>0</v>
      </c>
      <c r="J25" s="3" t="n">
        <v>0</v>
      </c>
      <c r="K25" s="3" t="n">
        <v>0</v>
      </c>
      <c r="L25" s="13" t="n">
        <v>32</v>
      </c>
      <c r="M25" s="13" t="n">
        <v>32</v>
      </c>
      <c r="N25" s="13" t="n">
        <v>144</v>
      </c>
      <c r="O25" s="3">
        <f>C25*D25*E25/1024</f>
        <v/>
      </c>
      <c r="P25" s="3">
        <f>F25*F25*G25*H25/1024</f>
        <v/>
      </c>
      <c r="Q25" s="3">
        <f>I25/1024</f>
        <v/>
      </c>
      <c r="R25" s="3">
        <f>L25*M25*N25/1024</f>
        <v/>
      </c>
      <c r="S25" s="3">
        <f>(L25*M25*N25)*(F25*F25*G25)/128</f>
        <v/>
      </c>
      <c r="T25" s="3">
        <f>(S25/$Y$2)/1000</f>
        <v/>
      </c>
      <c r="U25" s="26">
        <f>((O25*8*1024)/$T25)/1000</f>
        <v/>
      </c>
      <c r="V25" s="26">
        <f>((P25*8*1024)/$T25)/1000</f>
        <v/>
      </c>
      <c r="W25" s="26">
        <f>((Q25*8*1024)/$T25)/1000</f>
        <v/>
      </c>
      <c r="X25" s="26">
        <f>((R25*8*1024)/$T25)/1000</f>
        <v/>
      </c>
      <c r="Y25" s="48" t="n"/>
    </row>
    <row r="26">
      <c r="A26" s="5" t="inlineStr">
        <is>
          <t>Reshape</t>
        </is>
      </c>
      <c r="B26" s="6" t="inlineStr">
        <is>
          <t xml:space="preserve">Patch unfolding </t>
        </is>
      </c>
      <c r="C26" s="11" t="n">
        <v>32</v>
      </c>
      <c r="D26" s="11" t="n">
        <v>32</v>
      </c>
      <c r="E26" s="11" t="n">
        <v>144</v>
      </c>
      <c r="F26" s="2" t="n">
        <v>0</v>
      </c>
      <c r="G26" s="2" t="n">
        <v>0</v>
      </c>
      <c r="H26" s="2" t="n">
        <v>0</v>
      </c>
      <c r="I26" s="3" t="n">
        <v>0</v>
      </c>
      <c r="J26" s="3" t="n">
        <v>0</v>
      </c>
      <c r="K26" s="3" t="n">
        <v>0</v>
      </c>
      <c r="L26" s="13" t="n">
        <v>144</v>
      </c>
      <c r="M26" s="13" t="n">
        <v>256</v>
      </c>
      <c r="N26" s="13" t="n">
        <v>4</v>
      </c>
      <c r="O26" s="3">
        <f>C26*D26*E26/1024</f>
        <v/>
      </c>
      <c r="P26" s="3">
        <f>F26*F26*G26*H26/1024</f>
        <v/>
      </c>
      <c r="Q26" s="3">
        <f>I26/1024</f>
        <v/>
      </c>
      <c r="R26" s="3">
        <f>L26*M26*N26/1024</f>
        <v/>
      </c>
      <c r="S26" s="3">
        <f>(F26*F26)*L26*M26*N26/128</f>
        <v/>
      </c>
      <c r="T26" s="3">
        <f>(S26/$Y$2)/1000</f>
        <v/>
      </c>
      <c r="U26" s="28">
        <f>((O26*8*1024)/$T26)/1000</f>
        <v/>
      </c>
      <c r="V26" s="28">
        <f>((P26*8*1024)/$T26)/1000</f>
        <v/>
      </c>
      <c r="W26" s="28">
        <f>((Q26*8*1024)/$T26)/1000</f>
        <v/>
      </c>
      <c r="X26" s="28">
        <f>((R26*8*1024)/$T26)/1000</f>
        <v/>
      </c>
    </row>
    <row r="27">
      <c r="A27" s="7" t="inlineStr">
        <is>
          <t>Layer Norm</t>
        </is>
      </c>
      <c r="B27" s="7" t="inlineStr">
        <is>
          <t>Layer Norm</t>
        </is>
      </c>
      <c r="C27" s="11" t="n">
        <v>144</v>
      </c>
      <c r="D27" s="11" t="n">
        <v>256</v>
      </c>
      <c r="E27" s="11" t="n">
        <v>4</v>
      </c>
      <c r="F27" s="2" t="n">
        <v>144</v>
      </c>
      <c r="G27" s="2" t="n">
        <v>2</v>
      </c>
      <c r="H27" s="2" t="n">
        <v>0</v>
      </c>
      <c r="I27" s="3" t="n">
        <v>0</v>
      </c>
      <c r="J27" s="3" t="n">
        <v>0</v>
      </c>
      <c r="K27" s="3" t="n">
        <v>0</v>
      </c>
      <c r="L27" s="13" t="n">
        <v>144</v>
      </c>
      <c r="M27" s="13" t="n">
        <v>256</v>
      </c>
      <c r="N27" s="13" t="n">
        <v>4</v>
      </c>
      <c r="O27" s="3">
        <f>C27*D27*E27/1024</f>
        <v/>
      </c>
      <c r="P27" s="3">
        <f>F27*G27/1024</f>
        <v/>
      </c>
      <c r="Q27" s="3" t="n">
        <v>0</v>
      </c>
      <c r="R27" s="3">
        <f>L27*M27*N27/1024</f>
        <v/>
      </c>
      <c r="S27" s="3">
        <f>C27*D27*E27*7/128</f>
        <v/>
      </c>
      <c r="T27" s="3">
        <f>(S27/$Y$2)/1000</f>
        <v/>
      </c>
      <c r="U27" s="26">
        <f>((O27*8*1024)/$T27)/1000</f>
        <v/>
      </c>
      <c r="V27" s="26">
        <f>((P27*8*1024)/$T27)/1000</f>
        <v/>
      </c>
      <c r="W27" s="26">
        <f>((Q27*8*1024)/$T27)/1000</f>
        <v/>
      </c>
      <c r="X27" s="26">
        <f>((R27*8*1024)/$T27)/1000</f>
        <v/>
      </c>
      <c r="AA27" s="32" t="inlineStr">
        <is>
          <t>2X</t>
        </is>
      </c>
      <c r="AB27" s="49" t="n"/>
    </row>
    <row r="28">
      <c r="A28" s="7" t="inlineStr">
        <is>
          <t>Projection</t>
        </is>
      </c>
      <c r="B28" s="7" t="inlineStr">
        <is>
          <t>Q</t>
        </is>
      </c>
      <c r="C28" s="11" t="n">
        <v>144</v>
      </c>
      <c r="D28" s="11" t="n">
        <v>256</v>
      </c>
      <c r="E28" s="11" t="n">
        <v>0</v>
      </c>
      <c r="F28" s="2" t="n">
        <v>144</v>
      </c>
      <c r="G28" s="2" t="n">
        <v>144</v>
      </c>
      <c r="H28" s="2" t="n">
        <v>0</v>
      </c>
      <c r="I28" s="3" t="n">
        <v>0</v>
      </c>
      <c r="J28" s="3" t="n">
        <v>0</v>
      </c>
      <c r="K28" s="3" t="n">
        <v>0</v>
      </c>
      <c r="L28" s="13" t="n">
        <v>144</v>
      </c>
      <c r="M28" s="13" t="n">
        <v>256</v>
      </c>
      <c r="N28" s="13" t="n">
        <v>0</v>
      </c>
      <c r="O28" s="3">
        <f>C28*D28/1024</f>
        <v/>
      </c>
      <c r="P28" s="3">
        <f>F28*G28/1024</f>
        <v/>
      </c>
      <c r="Q28" s="3" t="n">
        <v>0</v>
      </c>
      <c r="R28" s="3">
        <f>L28*M28/1024</f>
        <v/>
      </c>
      <c r="S28" s="3">
        <f>C28*D28*F28/128</f>
        <v/>
      </c>
      <c r="T28" s="3">
        <f>(S28/$Y$2)/1000</f>
        <v/>
      </c>
      <c r="U28" s="26">
        <f>((O28*8*1024)/$T28)/1000</f>
        <v/>
      </c>
      <c r="V28" s="26">
        <f>((P28*8*1024)/$T28)/1000</f>
        <v/>
      </c>
      <c r="W28" s="26">
        <f>((Q28*8*1024)/$T28)/1000</f>
        <v/>
      </c>
      <c r="X28" s="26">
        <f>((R28*8*1024)/$T28)/1000</f>
        <v/>
      </c>
      <c r="AA28" s="50" t="n"/>
      <c r="AB28" s="47" t="n"/>
    </row>
    <row r="29">
      <c r="A29" s="7" t="inlineStr">
        <is>
          <t>Projection</t>
        </is>
      </c>
      <c r="B29" s="7" t="inlineStr">
        <is>
          <t>K</t>
        </is>
      </c>
      <c r="C29" s="11" t="n">
        <v>144</v>
      </c>
      <c r="D29" s="11" t="n">
        <v>256</v>
      </c>
      <c r="E29" s="11" t="n">
        <v>0</v>
      </c>
      <c r="F29" s="2" t="n">
        <v>144</v>
      </c>
      <c r="G29" s="2" t="n">
        <v>144</v>
      </c>
      <c r="H29" s="2" t="n">
        <v>0</v>
      </c>
      <c r="I29" s="3" t="n">
        <v>0</v>
      </c>
      <c r="J29" s="3" t="n">
        <v>0</v>
      </c>
      <c r="K29" s="3" t="n">
        <v>0</v>
      </c>
      <c r="L29" s="13" t="n">
        <v>144</v>
      </c>
      <c r="M29" s="13" t="n">
        <v>256</v>
      </c>
      <c r="N29" s="13" t="n">
        <v>0</v>
      </c>
      <c r="O29" s="3">
        <f>C29*D29/1024</f>
        <v/>
      </c>
      <c r="P29" s="3">
        <f>F29*G29/1024</f>
        <v/>
      </c>
      <c r="Q29" s="3" t="n">
        <v>0</v>
      </c>
      <c r="R29" s="3">
        <f>L29*M29/1024</f>
        <v/>
      </c>
      <c r="S29" s="3">
        <f>C29*D29*F29/128</f>
        <v/>
      </c>
      <c r="T29" s="3">
        <f>(S29/$Y$2)/1000</f>
        <v/>
      </c>
      <c r="U29" s="26">
        <f>((O29*8*1024)/$T29)/1000</f>
        <v/>
      </c>
      <c r="V29" s="26">
        <f>((P29*8*1024)/$T29)/1000</f>
        <v/>
      </c>
      <c r="W29" s="26">
        <f>((Q29*8*1024)/$T29)/1000</f>
        <v/>
      </c>
      <c r="X29" s="26">
        <f>((R29*8*1024)/$T29)/1000</f>
        <v/>
      </c>
      <c r="AA29" s="50" t="n"/>
      <c r="AB29" s="47" t="n"/>
    </row>
    <row r="30">
      <c r="A30" s="7" t="inlineStr">
        <is>
          <t>Projection</t>
        </is>
      </c>
      <c r="B30" s="7" t="inlineStr">
        <is>
          <t>V</t>
        </is>
      </c>
      <c r="C30" s="11" t="n">
        <v>144</v>
      </c>
      <c r="D30" s="11" t="n">
        <v>256</v>
      </c>
      <c r="E30" s="11" t="n">
        <v>0</v>
      </c>
      <c r="F30" s="2" t="n">
        <v>144</v>
      </c>
      <c r="G30" s="2" t="n">
        <v>144</v>
      </c>
      <c r="H30" s="2" t="n">
        <v>0</v>
      </c>
      <c r="I30" s="3" t="n">
        <v>0</v>
      </c>
      <c r="J30" s="3" t="n">
        <v>0</v>
      </c>
      <c r="K30" s="3" t="n">
        <v>0</v>
      </c>
      <c r="L30" s="13" t="n">
        <v>144</v>
      </c>
      <c r="M30" s="13" t="n">
        <v>256</v>
      </c>
      <c r="N30" s="13" t="n">
        <v>0</v>
      </c>
      <c r="O30" s="3">
        <f>C30*D30/1024</f>
        <v/>
      </c>
      <c r="P30" s="3">
        <f>F30*G30/1024</f>
        <v/>
      </c>
      <c r="Q30" s="3" t="n">
        <v>0</v>
      </c>
      <c r="R30" s="3">
        <f>L30*M30/1024</f>
        <v/>
      </c>
      <c r="S30" s="3">
        <f>C30*D30*F30/128</f>
        <v/>
      </c>
      <c r="T30" s="3">
        <f>(S30/$Y$2)/1000</f>
        <v/>
      </c>
      <c r="U30" s="26">
        <f>((O30*8*1024)/$T30)/1000</f>
        <v/>
      </c>
      <c r="V30" s="26">
        <f>((P30*8*1024)/$T30)/1000</f>
        <v/>
      </c>
      <c r="W30" s="26">
        <f>((Q30*8*1024)/$T30)/1000</f>
        <v/>
      </c>
      <c r="X30" s="26">
        <f>((R30*8*1024)/$T30)/1000</f>
        <v/>
      </c>
      <c r="AA30" s="50" t="n"/>
      <c r="AB30" s="47" t="n"/>
    </row>
    <row r="31">
      <c r="A31" s="5" t="inlineStr">
        <is>
          <t>Reshape</t>
        </is>
      </c>
      <c r="B31" s="7" t="inlineStr">
        <is>
          <t>Head reshape Q</t>
        </is>
      </c>
      <c r="C31" s="11" t="n">
        <v>144</v>
      </c>
      <c r="D31" s="11" t="n">
        <v>256</v>
      </c>
      <c r="E31" s="11" t="n">
        <v>0</v>
      </c>
      <c r="F31" s="2" t="n">
        <v>0</v>
      </c>
      <c r="G31" s="2" t="n">
        <v>0</v>
      </c>
      <c r="H31" s="2" t="n">
        <v>0</v>
      </c>
      <c r="I31" s="3" t="n">
        <v>0</v>
      </c>
      <c r="J31" s="3" t="n">
        <v>0</v>
      </c>
      <c r="K31" s="3" t="n">
        <v>0</v>
      </c>
      <c r="L31" s="13" t="n">
        <v>36</v>
      </c>
      <c r="M31" s="13" t="n">
        <v>256</v>
      </c>
      <c r="N31" s="13" t="n">
        <v>4</v>
      </c>
      <c r="O31" s="3">
        <f>C31*D31/1024</f>
        <v/>
      </c>
      <c r="P31" s="3">
        <f>F31*G31/1024</f>
        <v/>
      </c>
      <c r="Q31" s="3" t="n">
        <v>0</v>
      </c>
      <c r="R31" s="3">
        <f>L31*M31*N31/1024</f>
        <v/>
      </c>
      <c r="S31" s="3">
        <f>0</f>
        <v/>
      </c>
      <c r="T31" s="3">
        <f>0</f>
        <v/>
      </c>
      <c r="U31" s="26" t="n">
        <v>0</v>
      </c>
      <c r="V31" s="26" t="n">
        <v>0</v>
      </c>
      <c r="W31" s="26" t="n">
        <v>0</v>
      </c>
      <c r="X31" s="26" t="n">
        <v>0</v>
      </c>
      <c r="AA31" s="50" t="n"/>
      <c r="AB31" s="47" t="n"/>
    </row>
    <row r="32">
      <c r="A32" s="5" t="inlineStr">
        <is>
          <t>Reshape</t>
        </is>
      </c>
      <c r="B32" s="7" t="inlineStr">
        <is>
          <t>Head reshape K</t>
        </is>
      </c>
      <c r="C32" s="11" t="n">
        <v>144</v>
      </c>
      <c r="D32" s="11" t="n">
        <v>256</v>
      </c>
      <c r="E32" s="11" t="n">
        <v>0</v>
      </c>
      <c r="F32" s="2" t="n">
        <v>0</v>
      </c>
      <c r="G32" s="2" t="n">
        <v>0</v>
      </c>
      <c r="H32" s="2" t="n">
        <v>0</v>
      </c>
      <c r="I32" s="3" t="n">
        <v>0</v>
      </c>
      <c r="J32" s="3" t="n">
        <v>0</v>
      </c>
      <c r="K32" s="3" t="n">
        <v>0</v>
      </c>
      <c r="L32" s="13" t="n">
        <v>36</v>
      </c>
      <c r="M32" s="13" t="n">
        <v>256</v>
      </c>
      <c r="N32" s="13" t="n">
        <v>4</v>
      </c>
      <c r="O32" s="3">
        <f>C32*D32/1024</f>
        <v/>
      </c>
      <c r="P32" s="3">
        <f>F32*G32/1024</f>
        <v/>
      </c>
      <c r="Q32" s="3" t="n">
        <v>0</v>
      </c>
      <c r="R32" s="3">
        <f>L32*M32*N32/1024</f>
        <v/>
      </c>
      <c r="S32" s="3">
        <f>0</f>
        <v/>
      </c>
      <c r="T32" s="3">
        <f>0</f>
        <v/>
      </c>
      <c r="U32" s="26" t="n">
        <v>0</v>
      </c>
      <c r="V32" s="26" t="n">
        <v>0</v>
      </c>
      <c r="W32" s="26" t="n">
        <v>0</v>
      </c>
      <c r="X32" s="26" t="n">
        <v>0</v>
      </c>
      <c r="AA32" s="50" t="n"/>
      <c r="AB32" s="47" t="n"/>
    </row>
    <row r="33">
      <c r="A33" s="5" t="inlineStr">
        <is>
          <t>Reshape</t>
        </is>
      </c>
      <c r="B33" s="7" t="inlineStr">
        <is>
          <t>Head reshape V</t>
        </is>
      </c>
      <c r="C33" s="11" t="n">
        <v>144</v>
      </c>
      <c r="D33" s="11" t="n">
        <v>256</v>
      </c>
      <c r="E33" s="11" t="n">
        <v>0</v>
      </c>
      <c r="F33" s="2" t="n">
        <v>0</v>
      </c>
      <c r="G33" s="2" t="n">
        <v>0</v>
      </c>
      <c r="H33" s="2" t="n">
        <v>0</v>
      </c>
      <c r="I33" s="3" t="n">
        <v>0</v>
      </c>
      <c r="J33" s="3" t="n">
        <v>0</v>
      </c>
      <c r="K33" s="3" t="n">
        <v>0</v>
      </c>
      <c r="L33" s="13" t="n">
        <v>36</v>
      </c>
      <c r="M33" s="13" t="n">
        <v>256</v>
      </c>
      <c r="N33" s="13" t="n">
        <v>4</v>
      </c>
      <c r="O33" s="3">
        <f>C33*D33/1024</f>
        <v/>
      </c>
      <c r="P33" s="3">
        <f>F33*G33/1024</f>
        <v/>
      </c>
      <c r="Q33" s="3" t="n">
        <v>0</v>
      </c>
      <c r="R33" s="3">
        <f>L33*M33*N33/1024</f>
        <v/>
      </c>
      <c r="S33" s="3">
        <f>0</f>
        <v/>
      </c>
      <c r="T33" s="3">
        <f>0</f>
        <v/>
      </c>
      <c r="U33" s="26" t="n">
        <v>0</v>
      </c>
      <c r="V33" s="26" t="n">
        <v>0</v>
      </c>
      <c r="W33" s="26" t="n">
        <v>0</v>
      </c>
      <c r="X33" s="26" t="n">
        <v>0</v>
      </c>
      <c r="AA33" s="50" t="n"/>
      <c r="AB33" s="47" t="n"/>
    </row>
    <row r="34">
      <c r="A34" s="7" t="inlineStr">
        <is>
          <t>Mat mul</t>
        </is>
      </c>
      <c r="B34" s="7" t="inlineStr">
        <is>
          <t>QKt</t>
        </is>
      </c>
      <c r="C34" s="11" t="n">
        <v>36</v>
      </c>
      <c r="D34" s="11" t="n">
        <v>256</v>
      </c>
      <c r="E34" s="11" t="n">
        <v>0</v>
      </c>
      <c r="F34" s="2" t="n">
        <v>36</v>
      </c>
      <c r="G34" s="2" t="n">
        <v>256</v>
      </c>
      <c r="H34" s="2" t="n">
        <v>0</v>
      </c>
      <c r="I34" s="3" t="n">
        <v>0</v>
      </c>
      <c r="J34" s="3" t="n">
        <v>0</v>
      </c>
      <c r="K34" s="3" t="n">
        <v>0</v>
      </c>
      <c r="L34" s="13" t="n">
        <v>256</v>
      </c>
      <c r="M34" s="13" t="n">
        <v>256</v>
      </c>
      <c r="N34" s="13" t="n">
        <v>0</v>
      </c>
      <c r="O34" s="3">
        <f>C34*D34/1024</f>
        <v/>
      </c>
      <c r="P34" s="3">
        <f>F34*G34/1024</f>
        <v/>
      </c>
      <c r="Q34" s="3" t="n">
        <v>0</v>
      </c>
      <c r="R34" s="3">
        <f>L34*M34/1024</f>
        <v/>
      </c>
      <c r="S34" s="3">
        <f>(C34*D34*G34/128)*2</f>
        <v/>
      </c>
      <c r="T34" s="3">
        <f>(S34/$Y$2)/1000</f>
        <v/>
      </c>
      <c r="U34" s="26">
        <f>((O34*8*1024)/$T34)/1000</f>
        <v/>
      </c>
      <c r="V34" s="26">
        <f>((P34*8*1024)/$T34)/1000</f>
        <v/>
      </c>
      <c r="W34" s="26">
        <f>((Q34*8*1024)/$T34)/1000</f>
        <v/>
      </c>
      <c r="X34" s="26">
        <f>((R34*8*1024)/$T34)/1000</f>
        <v/>
      </c>
      <c r="Y34" s="34" t="inlineStr">
        <is>
          <t>4X</t>
        </is>
      </c>
      <c r="Z34" s="49" t="n"/>
      <c r="AA34" s="50" t="n"/>
      <c r="AB34" s="47" t="n"/>
    </row>
    <row r="35">
      <c r="A35" s="7" t="inlineStr">
        <is>
          <t>Scaling</t>
        </is>
      </c>
      <c r="B35" s="7" t="inlineStr">
        <is>
          <t>Scaling</t>
        </is>
      </c>
      <c r="C35" s="11" t="n">
        <v>256</v>
      </c>
      <c r="D35" s="11" t="n">
        <v>256</v>
      </c>
      <c r="E35" s="11" t="n">
        <v>0</v>
      </c>
      <c r="F35" s="2" t="n">
        <v>0</v>
      </c>
      <c r="G35" s="2" t="n">
        <v>0</v>
      </c>
      <c r="H35" s="2" t="n">
        <v>0</v>
      </c>
      <c r="I35" s="3" t="n">
        <v>0</v>
      </c>
      <c r="J35" s="3" t="n">
        <v>0</v>
      </c>
      <c r="K35" s="3" t="n">
        <v>0</v>
      </c>
      <c r="L35" s="13" t="n">
        <v>256</v>
      </c>
      <c r="M35" s="13" t="n">
        <v>256</v>
      </c>
      <c r="N35" s="13" t="n">
        <v>0</v>
      </c>
      <c r="O35" s="3">
        <f>C35*D35/1024</f>
        <v/>
      </c>
      <c r="P35" s="3">
        <f>F35*G35/1024</f>
        <v/>
      </c>
      <c r="Q35" s="3" t="n">
        <v>0</v>
      </c>
      <c r="R35" s="3">
        <f>L35*M35/1024</f>
        <v/>
      </c>
      <c r="S35" s="3">
        <f>C35*D35/128</f>
        <v/>
      </c>
      <c r="T35" s="3">
        <f>(S35/$Y$2)/1000</f>
        <v/>
      </c>
      <c r="U35" s="26">
        <f>((O35*8*1024)/$T35)/1000</f>
        <v/>
      </c>
      <c r="V35" s="26">
        <f>((P35*8*1024)/$T35)/1000</f>
        <v/>
      </c>
      <c r="W35" s="26">
        <f>((Q35*8*1024)/$T35)/1000</f>
        <v/>
      </c>
      <c r="X35" s="26">
        <f>((R35*8*1024)/$T35)/1000</f>
        <v/>
      </c>
      <c r="Z35" s="47" t="n"/>
      <c r="AA35" s="50" t="n"/>
      <c r="AB35" s="47" t="n"/>
    </row>
    <row r="36">
      <c r="A36" s="7" t="inlineStr">
        <is>
          <t>Softmax</t>
        </is>
      </c>
      <c r="B36" s="7" t="inlineStr">
        <is>
          <t>Row</t>
        </is>
      </c>
      <c r="C36" s="11" t="n">
        <v>256</v>
      </c>
      <c r="D36" s="11" t="n">
        <v>256</v>
      </c>
      <c r="E36" s="11" t="n">
        <v>0</v>
      </c>
      <c r="F36" s="2" t="n">
        <v>0</v>
      </c>
      <c r="G36" s="2" t="n">
        <v>0</v>
      </c>
      <c r="H36" s="2" t="n">
        <v>0</v>
      </c>
      <c r="I36" s="3" t="n">
        <v>0</v>
      </c>
      <c r="J36" s="3" t="n">
        <v>0</v>
      </c>
      <c r="K36" s="3" t="n">
        <v>0</v>
      </c>
      <c r="L36" s="13" t="n">
        <v>256</v>
      </c>
      <c r="M36" s="13" t="n">
        <v>256</v>
      </c>
      <c r="N36" s="13" t="n">
        <v>0</v>
      </c>
      <c r="O36" s="3">
        <f>C36*D36/1024</f>
        <v/>
      </c>
      <c r="P36" s="3">
        <f>F36*G36/1024</f>
        <v/>
      </c>
      <c r="Q36" s="3" t="n">
        <v>0</v>
      </c>
      <c r="R36" s="3">
        <f>L36*M36/1024</f>
        <v/>
      </c>
      <c r="S36" s="3">
        <f>C36*D36*5/128</f>
        <v/>
      </c>
      <c r="T36" s="3">
        <f>(S36/$Y$2)/1000</f>
        <v/>
      </c>
      <c r="U36" s="26">
        <f>((O36*8*1024)/$T36)/1000</f>
        <v/>
      </c>
      <c r="V36" s="26">
        <f>((P36*8*1024)/$T36)/1000</f>
        <v/>
      </c>
      <c r="W36" s="26">
        <f>((Q36*8*1024)/$T36)/1000</f>
        <v/>
      </c>
      <c r="X36" s="26">
        <f>((R36*8*1024)/$T36)/1000</f>
        <v/>
      </c>
      <c r="Z36" s="47" t="n"/>
      <c r="AA36" s="50" t="n"/>
      <c r="AB36" s="47" t="n"/>
    </row>
    <row r="37">
      <c r="A37" s="7" t="inlineStr">
        <is>
          <t>Mat mul</t>
        </is>
      </c>
      <c r="B37" s="7" t="inlineStr">
        <is>
          <t>(QKtV)t</t>
        </is>
      </c>
      <c r="C37" s="11" t="n">
        <v>256</v>
      </c>
      <c r="D37" s="11" t="n">
        <v>256</v>
      </c>
      <c r="E37" s="11" t="n">
        <v>0</v>
      </c>
      <c r="F37" s="2" t="n">
        <v>36</v>
      </c>
      <c r="G37" s="2" t="n">
        <v>256</v>
      </c>
      <c r="H37" s="2" t="n">
        <v>0</v>
      </c>
      <c r="I37" s="3" t="n">
        <v>0</v>
      </c>
      <c r="J37" s="3" t="n">
        <v>0</v>
      </c>
      <c r="K37" s="3" t="n">
        <v>0</v>
      </c>
      <c r="L37" s="13" t="n">
        <v>36</v>
      </c>
      <c r="M37" s="13" t="n">
        <v>256</v>
      </c>
      <c r="N37" s="13" t="n">
        <v>0</v>
      </c>
      <c r="O37" s="3">
        <f>C37*D37/1024</f>
        <v/>
      </c>
      <c r="P37" s="3">
        <f>F37*G37/1024</f>
        <v/>
      </c>
      <c r="Q37" s="3" t="n">
        <v>0</v>
      </c>
      <c r="R37" s="3">
        <f>L37*M37/1024</f>
        <v/>
      </c>
      <c r="S37" s="3">
        <f>C37*D37*F37/128</f>
        <v/>
      </c>
      <c r="T37" s="3">
        <f>(S37/$Y$2)/1000</f>
        <v/>
      </c>
      <c r="U37" s="26">
        <f>((O37*8*1024)/$T37)/1000</f>
        <v/>
      </c>
      <c r="V37" s="26">
        <f>((P37*8*1024)/$T37)/1000</f>
        <v/>
      </c>
      <c r="W37" s="26">
        <f>((Q37*8*1024)/$T37)/1000</f>
        <v/>
      </c>
      <c r="X37" s="26">
        <f>((R37*8*1024)/$T37)/1000</f>
        <v/>
      </c>
      <c r="Y37" s="46" t="n"/>
      <c r="Z37" s="48" t="n"/>
      <c r="AA37" s="50" t="n"/>
      <c r="AB37" s="47" t="n"/>
    </row>
    <row r="38">
      <c r="A38" s="5" t="inlineStr">
        <is>
          <t>Reshape</t>
        </is>
      </c>
      <c r="B38" s="7" t="inlineStr">
        <is>
          <t>Concatenate heads</t>
        </is>
      </c>
      <c r="C38" s="11" t="n">
        <v>36</v>
      </c>
      <c r="D38" s="11" t="n">
        <v>256</v>
      </c>
      <c r="E38" s="11" t="n">
        <v>4</v>
      </c>
      <c r="F38" s="2" t="n">
        <v>0</v>
      </c>
      <c r="G38" s="2" t="n">
        <v>0</v>
      </c>
      <c r="H38" s="2" t="n">
        <v>0</v>
      </c>
      <c r="I38" s="3" t="n">
        <v>0</v>
      </c>
      <c r="J38" s="3" t="n">
        <v>0</v>
      </c>
      <c r="K38" s="3" t="n">
        <v>0</v>
      </c>
      <c r="L38" s="13" t="n">
        <v>144</v>
      </c>
      <c r="M38" s="13" t="n">
        <v>256</v>
      </c>
      <c r="N38" s="13" t="n">
        <v>0</v>
      </c>
      <c r="O38" s="3">
        <f>C38*D38*E38/1024</f>
        <v/>
      </c>
      <c r="P38" s="3">
        <f>F38*G38/1024</f>
        <v/>
      </c>
      <c r="Q38" s="3" t="n">
        <v>0</v>
      </c>
      <c r="R38" s="3">
        <f>L38*M38/1024</f>
        <v/>
      </c>
      <c r="S38" s="3" t="n">
        <v>0</v>
      </c>
      <c r="T38" s="3" t="n">
        <v>0</v>
      </c>
      <c r="U38" s="26" t="n">
        <v>0</v>
      </c>
      <c r="V38" s="26" t="n">
        <v>0</v>
      </c>
      <c r="W38" s="26" t="n">
        <v>0</v>
      </c>
      <c r="X38" s="26" t="n">
        <v>0</v>
      </c>
      <c r="Y38" s="17" t="inlineStr">
        <is>
          <t>total 4[us]</t>
        </is>
      </c>
      <c r="Z38">
        <f>4*(T34+T35+T36+T37)</f>
        <v/>
      </c>
      <c r="AA38" s="50" t="n"/>
      <c r="AB38" s="47" t="n"/>
    </row>
    <row r="39">
      <c r="A39" s="7" t="inlineStr">
        <is>
          <t>Mat mul</t>
        </is>
      </c>
      <c r="B39" s="7" t="inlineStr">
        <is>
          <t>Out projection</t>
        </is>
      </c>
      <c r="C39" s="11" t="n">
        <v>144</v>
      </c>
      <c r="D39" s="11" t="n">
        <v>256</v>
      </c>
      <c r="E39" s="11" t="n">
        <v>0</v>
      </c>
      <c r="F39" s="2" t="n">
        <v>144</v>
      </c>
      <c r="G39" s="2" t="n">
        <v>144</v>
      </c>
      <c r="H39" s="2" t="n">
        <v>0</v>
      </c>
      <c r="I39" s="3" t="n">
        <v>144</v>
      </c>
      <c r="J39" s="3" t="n">
        <v>0</v>
      </c>
      <c r="K39" s="3" t="n">
        <v>0</v>
      </c>
      <c r="L39" s="13" t="n">
        <v>144</v>
      </c>
      <c r="M39" s="13" t="n">
        <v>256</v>
      </c>
      <c r="N39" s="13" t="n">
        <v>0</v>
      </c>
      <c r="O39" s="3">
        <f>C39*D39/1024</f>
        <v/>
      </c>
      <c r="P39" s="3">
        <f>F39*G39/1024</f>
        <v/>
      </c>
      <c r="Q39" s="3">
        <f>I39/128</f>
        <v/>
      </c>
      <c r="R39" s="3">
        <f>L39*M39/1024</f>
        <v/>
      </c>
      <c r="S39" s="3">
        <f>C39*D39*F39/128</f>
        <v/>
      </c>
      <c r="T39" s="3">
        <f>(S39/$Y$2)/1000</f>
        <v/>
      </c>
      <c r="U39" s="26">
        <f>((O39*8*1024)/$T39)/1000</f>
        <v/>
      </c>
      <c r="V39" s="26">
        <f>((P39*8*1024)/$T39)/1000</f>
        <v/>
      </c>
      <c r="W39" s="26">
        <f>((Q39*8*1024)/$T39)/1000</f>
        <v/>
      </c>
      <c r="X39" s="26">
        <f>((R39*8*1024)/$T39)/1000</f>
        <v/>
      </c>
      <c r="AA39" s="50" t="n"/>
      <c r="AB39" s="47" t="n"/>
    </row>
    <row r="40">
      <c r="A40" s="7" t="inlineStr">
        <is>
          <t xml:space="preserve">Residual </t>
        </is>
      </c>
      <c r="B40" s="7" t="inlineStr">
        <is>
          <t>Residual</t>
        </is>
      </c>
      <c r="C40" s="11" t="n">
        <v>144</v>
      </c>
      <c r="D40" s="11" t="n">
        <v>256</v>
      </c>
      <c r="E40" s="11" t="n">
        <v>0</v>
      </c>
      <c r="F40" s="2" t="n">
        <v>144</v>
      </c>
      <c r="G40" s="2" t="n">
        <v>256</v>
      </c>
      <c r="H40" s="2" t="n">
        <v>0</v>
      </c>
      <c r="I40" s="3" t="n">
        <v>0</v>
      </c>
      <c r="J40" s="3" t="n">
        <v>0</v>
      </c>
      <c r="K40" s="3" t="n">
        <v>0</v>
      </c>
      <c r="L40" s="13" t="n">
        <v>144</v>
      </c>
      <c r="M40" s="13" t="n">
        <v>256</v>
      </c>
      <c r="N40" s="13" t="n">
        <v>0</v>
      </c>
      <c r="O40" s="3">
        <f>C40*D40/1024</f>
        <v/>
      </c>
      <c r="P40" s="3">
        <f>F40*G40/1024</f>
        <v/>
      </c>
      <c r="Q40" s="3" t="n">
        <v>0</v>
      </c>
      <c r="R40" s="3">
        <f>L40*M40/1024</f>
        <v/>
      </c>
      <c r="S40" s="3">
        <f>C40*D40/128</f>
        <v/>
      </c>
      <c r="T40" s="3">
        <f>(S40/$Y$2)/1000</f>
        <v/>
      </c>
      <c r="U40" s="26">
        <f>((O40*8*1024)/$T40)/1000</f>
        <v/>
      </c>
      <c r="V40" s="26">
        <f>((P40*8*1024)/$T40)/1000</f>
        <v/>
      </c>
      <c r="W40" s="26">
        <f>((Q40*8*1024)/$T40)/1000</f>
        <v/>
      </c>
      <c r="X40" s="26">
        <f>((R40*8*1024)/$T40)/1000</f>
        <v/>
      </c>
      <c r="AA40" s="50" t="n"/>
      <c r="AB40" s="47" t="n"/>
    </row>
    <row r="41">
      <c r="A41" s="7" t="inlineStr">
        <is>
          <t>Layer Norm</t>
        </is>
      </c>
      <c r="B41" s="7" t="inlineStr">
        <is>
          <t>Layer Norm</t>
        </is>
      </c>
      <c r="C41" s="11" t="n">
        <v>144</v>
      </c>
      <c r="D41" s="11" t="n">
        <v>256</v>
      </c>
      <c r="E41" s="11" t="n">
        <v>4</v>
      </c>
      <c r="F41" s="2" t="n">
        <v>144</v>
      </c>
      <c r="G41" s="2" t="n">
        <v>2</v>
      </c>
      <c r="H41" s="2" t="n">
        <v>0</v>
      </c>
      <c r="I41" s="3" t="n">
        <v>0</v>
      </c>
      <c r="J41" s="3" t="n">
        <v>0</v>
      </c>
      <c r="K41" s="3" t="n">
        <v>0</v>
      </c>
      <c r="L41" s="13" t="n">
        <v>144</v>
      </c>
      <c r="M41" s="13" t="n">
        <v>256</v>
      </c>
      <c r="N41" s="13" t="n">
        <v>4</v>
      </c>
      <c r="O41" s="3" t="n">
        <v>144</v>
      </c>
      <c r="P41" s="3" t="n">
        <v>0.28125</v>
      </c>
      <c r="Q41" s="3" t="n">
        <v>0</v>
      </c>
      <c r="R41" s="3" t="n">
        <v>144</v>
      </c>
      <c r="S41" s="3" t="n">
        <v>8064</v>
      </c>
      <c r="T41" s="3" t="n">
        <v>8.064</v>
      </c>
      <c r="U41" s="25" t="n">
        <v>146.286</v>
      </c>
      <c r="V41" s="25" t="n">
        <v>0.286</v>
      </c>
      <c r="W41" s="25" t="n">
        <v>0</v>
      </c>
      <c r="X41" s="25" t="n">
        <v>146.286</v>
      </c>
      <c r="AA41" s="50" t="n"/>
      <c r="AB41" s="47" t="n"/>
    </row>
    <row r="42">
      <c r="A42" s="7" t="inlineStr">
        <is>
          <t>Mat mul + SiLU</t>
        </is>
      </c>
      <c r="B42" s="7" t="inlineStr">
        <is>
          <t>Feed-Forward Network</t>
        </is>
      </c>
      <c r="C42" s="11" t="n">
        <v>144</v>
      </c>
      <c r="D42" s="11" t="n">
        <v>256</v>
      </c>
      <c r="E42" s="11" t="n">
        <v>0</v>
      </c>
      <c r="F42" s="2" t="n">
        <v>144</v>
      </c>
      <c r="G42" s="2" t="n">
        <v>288</v>
      </c>
      <c r="H42" s="2" t="n">
        <v>0</v>
      </c>
      <c r="I42" s="3" t="n">
        <v>288</v>
      </c>
      <c r="J42" s="3" t="n">
        <v>0</v>
      </c>
      <c r="K42" s="3" t="n">
        <v>0</v>
      </c>
      <c r="L42" s="13" t="n">
        <v>288</v>
      </c>
      <c r="M42" s="13" t="n">
        <v>256</v>
      </c>
      <c r="N42" s="13" t="n">
        <v>0</v>
      </c>
      <c r="O42" s="3">
        <f>C42*D42/1024</f>
        <v/>
      </c>
      <c r="P42" s="3">
        <f>F42*G42/1024</f>
        <v/>
      </c>
      <c r="Q42" s="3" t="n">
        <v>0</v>
      </c>
      <c r="R42" s="3">
        <f>L42*M42/1024</f>
        <v/>
      </c>
      <c r="S42" s="3">
        <f>(C42*D42*G42/128)*2</f>
        <v/>
      </c>
      <c r="T42" s="3">
        <f>(S42/$Y$2)/1000</f>
        <v/>
      </c>
      <c r="U42" s="26">
        <f>((O42*8*1024)/$T42)/1000</f>
        <v/>
      </c>
      <c r="V42" s="26">
        <f>((P42*8*1024)/$T42)/1000</f>
        <v/>
      </c>
      <c r="W42" s="26">
        <f>((Q42*8*1024)/$T42)/1000</f>
        <v/>
      </c>
      <c r="X42" s="26">
        <f>((R42*8*1024)/$T42)/1000</f>
        <v/>
      </c>
      <c r="AA42" s="50" t="n"/>
      <c r="AB42" s="47" t="n"/>
    </row>
    <row r="43">
      <c r="A43" s="7" t="inlineStr">
        <is>
          <t xml:space="preserve">Mat mul </t>
        </is>
      </c>
      <c r="B43" s="7" t="inlineStr">
        <is>
          <t>Feed-Forward Network</t>
        </is>
      </c>
      <c r="C43" s="11" t="n">
        <v>288</v>
      </c>
      <c r="D43" s="11" t="n">
        <v>256</v>
      </c>
      <c r="E43" s="11" t="n">
        <v>0</v>
      </c>
      <c r="F43" s="2" t="n">
        <v>288</v>
      </c>
      <c r="G43" s="2" t="n">
        <v>144</v>
      </c>
      <c r="H43" s="2" t="n">
        <v>0</v>
      </c>
      <c r="I43" s="3" t="n">
        <v>144</v>
      </c>
      <c r="J43" s="3" t="n">
        <v>0</v>
      </c>
      <c r="K43" s="3" t="n">
        <v>0</v>
      </c>
      <c r="L43" s="13" t="n">
        <v>144</v>
      </c>
      <c r="M43" s="13" t="n">
        <v>256</v>
      </c>
      <c r="N43" s="13" t="n">
        <v>0</v>
      </c>
      <c r="O43" s="3">
        <f>C43*D43/1024</f>
        <v/>
      </c>
      <c r="P43" s="3">
        <f>F43*G43/1024</f>
        <v/>
      </c>
      <c r="Q43" s="3" t="n">
        <v>0</v>
      </c>
      <c r="R43" s="3">
        <f>L43*M43/1024</f>
        <v/>
      </c>
      <c r="S43" s="3">
        <f>(C43*D43*G43/128)*2</f>
        <v/>
      </c>
      <c r="T43" s="3">
        <f>(S43/$Y$2)/1000</f>
        <v/>
      </c>
      <c r="U43" s="26">
        <f>((O43*8*1024)/$T43)/1000</f>
        <v/>
      </c>
      <c r="V43" s="26">
        <f>((P43*8*1024)/$T43)/1000</f>
        <v/>
      </c>
      <c r="W43" s="26">
        <f>((Q43*8*1024)/$T43)/1000</f>
        <v/>
      </c>
      <c r="X43" s="26">
        <f>((R43*8*1024)/$T43)/1000</f>
        <v/>
      </c>
      <c r="AA43" s="50" t="n"/>
      <c r="AB43" s="47" t="n"/>
    </row>
    <row r="44">
      <c r="A44" s="7" t="inlineStr">
        <is>
          <t xml:space="preserve">Residual </t>
        </is>
      </c>
      <c r="B44" s="7" t="inlineStr">
        <is>
          <t>Residual</t>
        </is>
      </c>
      <c r="C44" s="11" t="n">
        <v>144</v>
      </c>
      <c r="D44" s="11" t="n">
        <v>256</v>
      </c>
      <c r="E44" s="11" t="n">
        <v>0</v>
      </c>
      <c r="F44" s="2" t="n">
        <v>144</v>
      </c>
      <c r="G44" s="2" t="n">
        <v>256</v>
      </c>
      <c r="H44" s="2" t="n">
        <v>0</v>
      </c>
      <c r="I44" s="3" t="n">
        <v>0</v>
      </c>
      <c r="J44" s="3" t="n">
        <v>0</v>
      </c>
      <c r="K44" s="3" t="n">
        <v>0</v>
      </c>
      <c r="L44" s="13" t="n">
        <v>144</v>
      </c>
      <c r="M44" s="13" t="n">
        <v>256</v>
      </c>
      <c r="N44" s="13" t="n">
        <v>0</v>
      </c>
      <c r="O44" s="3">
        <f>C44*D44/1024</f>
        <v/>
      </c>
      <c r="P44" s="3">
        <f>F44*G44/1024</f>
        <v/>
      </c>
      <c r="Q44" s="3" t="n">
        <v>0</v>
      </c>
      <c r="R44" s="3">
        <f>L44*M44/1024</f>
        <v/>
      </c>
      <c r="S44" s="3">
        <f>C44*D44/128</f>
        <v/>
      </c>
      <c r="T44" s="3">
        <f>(S44/$Y$2)/1000</f>
        <v/>
      </c>
      <c r="U44" s="26">
        <f>((O44*8*1024)/$T44)/1000</f>
        <v/>
      </c>
      <c r="V44" s="26">
        <f>((P44*8*1024)/$T44)/1000</f>
        <v/>
      </c>
      <c r="W44" s="26">
        <f>((Q44*8*1024)/$T44)/1000</f>
        <v/>
      </c>
      <c r="X44" s="26">
        <f>((R44*8*1024)/$T44)/1000</f>
        <v/>
      </c>
      <c r="AA44" s="50" t="n"/>
      <c r="AB44" s="47" t="n"/>
    </row>
    <row r="45">
      <c r="A45" s="7" t="inlineStr">
        <is>
          <t>Layer Norm</t>
        </is>
      </c>
      <c r="B45" s="7" t="inlineStr">
        <is>
          <t>Layer Norm</t>
        </is>
      </c>
      <c r="C45" s="11" t="n">
        <v>144</v>
      </c>
      <c r="D45" s="11" t="n">
        <v>256</v>
      </c>
      <c r="E45" s="11" t="n">
        <v>4</v>
      </c>
      <c r="F45" s="2" t="n">
        <v>144</v>
      </c>
      <c r="G45" s="2" t="n">
        <v>2</v>
      </c>
      <c r="H45" s="2" t="n">
        <v>0</v>
      </c>
      <c r="I45" s="3" t="n">
        <v>0</v>
      </c>
      <c r="J45" s="3" t="n">
        <v>0</v>
      </c>
      <c r="K45" s="3" t="n">
        <v>0</v>
      </c>
      <c r="L45" s="13" t="n">
        <v>144</v>
      </c>
      <c r="M45" s="13" t="n">
        <v>256</v>
      </c>
      <c r="N45" s="13" t="n">
        <v>4</v>
      </c>
      <c r="O45" s="3" t="n">
        <v>144</v>
      </c>
      <c r="P45" s="3" t="n">
        <v>0.28125</v>
      </c>
      <c r="Q45" s="3" t="n">
        <v>0</v>
      </c>
      <c r="R45" s="3" t="n">
        <v>144</v>
      </c>
      <c r="S45" s="3" t="n">
        <v>8064</v>
      </c>
      <c r="T45" s="3" t="n">
        <v>8.064</v>
      </c>
      <c r="U45" s="25" t="n">
        <v>146.286</v>
      </c>
      <c r="V45" s="25" t="n">
        <v>0.286</v>
      </c>
      <c r="W45" s="25" t="n">
        <v>0</v>
      </c>
      <c r="X45" s="25" t="n">
        <v>146.286</v>
      </c>
      <c r="AA45" s="51" t="n"/>
      <c r="AB45" s="48" t="n"/>
    </row>
    <row r="46">
      <c r="A46" s="5" t="inlineStr">
        <is>
          <t>Reshape</t>
        </is>
      </c>
      <c r="B46" s="6" t="inlineStr">
        <is>
          <t xml:space="preserve">Patch folding </t>
        </is>
      </c>
      <c r="C46" s="11" t="n">
        <v>144</v>
      </c>
      <c r="D46" s="11" t="n">
        <v>256</v>
      </c>
      <c r="E46" s="11" t="n">
        <v>4</v>
      </c>
      <c r="F46" s="2" t="n">
        <v>0</v>
      </c>
      <c r="G46" s="2" t="n">
        <v>0</v>
      </c>
      <c r="H46" s="2" t="n">
        <v>0</v>
      </c>
      <c r="I46" s="3" t="n">
        <v>0</v>
      </c>
      <c r="J46" s="3" t="n">
        <v>0</v>
      </c>
      <c r="K46" s="3" t="n">
        <v>0</v>
      </c>
      <c r="L46" s="13" t="n">
        <v>32</v>
      </c>
      <c r="M46" s="13" t="n">
        <v>32</v>
      </c>
      <c r="N46" s="13" t="n">
        <v>144</v>
      </c>
      <c r="O46" s="3">
        <f>C46*D46*E46/1024</f>
        <v/>
      </c>
      <c r="P46" s="3">
        <f>F46*F46*G46*H46/1024</f>
        <v/>
      </c>
      <c r="Q46" s="3">
        <f>I46/1024</f>
        <v/>
      </c>
      <c r="R46" s="3">
        <f>L46*M46*N46/1024</f>
        <v/>
      </c>
      <c r="S46" s="3">
        <f>(F46*F46)*L46*M46*N46/128</f>
        <v/>
      </c>
      <c r="T46" s="3">
        <f>(S46/$Y$2)/1000</f>
        <v/>
      </c>
      <c r="U46" s="28">
        <f>((O46*8*1024)/$T46)/1000</f>
        <v/>
      </c>
      <c r="V46" s="28">
        <f>((P46*8*1024)/$T46)/1000</f>
        <v/>
      </c>
      <c r="W46" s="28">
        <f>((Q46*8*1024)/$T46)/1000</f>
        <v/>
      </c>
      <c r="X46" s="28">
        <f>((R46*8*1024)/$T46)/1000</f>
        <v/>
      </c>
      <c r="Y46" s="17" t="inlineStr">
        <is>
          <t>total 2 blocks[us]</t>
        </is>
      </c>
      <c r="Z46" s="18">
        <f>2*(T27+T28+T29+T30+T31+T32+T33+Z38+T38+T39+T40+T41+T42+T43+T44+T45)</f>
        <v/>
      </c>
    </row>
    <row r="47">
      <c r="A47" s="7" t="inlineStr">
        <is>
          <t>Conv + SiLU + BN</t>
        </is>
      </c>
      <c r="B47" s="7" t="inlineStr">
        <is>
          <t xml:space="preserve">Conv </t>
        </is>
      </c>
      <c r="C47" s="11" t="n">
        <v>32</v>
      </c>
      <c r="D47" s="11" t="n">
        <v>32</v>
      </c>
      <c r="E47" s="11" t="n">
        <v>144</v>
      </c>
      <c r="F47" s="2" t="n">
        <v>1</v>
      </c>
      <c r="G47" s="2" t="n">
        <v>144</v>
      </c>
      <c r="H47" s="2" t="n">
        <v>96</v>
      </c>
      <c r="I47" s="3" t="n">
        <v>96</v>
      </c>
      <c r="J47" s="3" t="n">
        <v>2</v>
      </c>
      <c r="K47" s="3" t="n">
        <v>0</v>
      </c>
      <c r="L47" s="13" t="n">
        <v>32</v>
      </c>
      <c r="M47" s="13" t="n">
        <v>32</v>
      </c>
      <c r="N47" s="13" t="n">
        <v>96</v>
      </c>
      <c r="O47" s="3">
        <f>C47*D47*E47/1024</f>
        <v/>
      </c>
      <c r="P47" s="3">
        <f>F47*F47*G47*H47/1024</f>
        <v/>
      </c>
      <c r="Q47" s="3">
        <f>I47*J47/1024</f>
        <v/>
      </c>
      <c r="R47" s="3">
        <f>L47*M47*N47/1024</f>
        <v/>
      </c>
      <c r="S47" s="3">
        <f>(L47*M47*N47)*(F47*F47*G47)/128</f>
        <v/>
      </c>
      <c r="T47" s="3">
        <f>(S47/$Y$2)/1000</f>
        <v/>
      </c>
      <c r="U47" s="26">
        <f>((O47*8*1024)/$T47)/1000</f>
        <v/>
      </c>
      <c r="V47" s="26">
        <f>((P47*8*1024)/$T47)/1000</f>
        <v/>
      </c>
      <c r="W47" s="26">
        <f>((Q47*8*1024)/$T47)/1000</f>
        <v/>
      </c>
      <c r="X47" s="26">
        <f>((R47*8*1024)/$T47)/1000</f>
        <v/>
      </c>
      <c r="Y47" s="37" t="inlineStr">
        <is>
          <t>Fusion block</t>
        </is>
      </c>
    </row>
    <row r="48">
      <c r="A48" s="5" t="inlineStr">
        <is>
          <t>Reshape</t>
        </is>
      </c>
      <c r="B48" s="7" t="inlineStr">
        <is>
          <t>Fusion</t>
        </is>
      </c>
      <c r="C48" s="11" t="n">
        <v>32</v>
      </c>
      <c r="D48" s="11" t="n">
        <v>32</v>
      </c>
      <c r="E48" s="11" t="n">
        <v>96</v>
      </c>
      <c r="F48" s="2" t="n">
        <v>32</v>
      </c>
      <c r="G48" s="2" t="n">
        <v>32</v>
      </c>
      <c r="H48" s="2" t="n">
        <v>96</v>
      </c>
      <c r="I48" s="3" t="n">
        <v>0</v>
      </c>
      <c r="J48" s="3" t="n">
        <v>0</v>
      </c>
      <c r="K48" s="3" t="n">
        <v>0</v>
      </c>
      <c r="L48" s="13" t="n">
        <v>32</v>
      </c>
      <c r="M48" s="13" t="n">
        <v>32</v>
      </c>
      <c r="N48" s="13" t="n">
        <v>192</v>
      </c>
      <c r="O48" s="3">
        <f>C48*D48*E48/1024</f>
        <v/>
      </c>
      <c r="P48" s="3">
        <f>F48*G48*H48/1024</f>
        <v/>
      </c>
      <c r="Q48" s="3" t="n">
        <v>0</v>
      </c>
      <c r="R48" s="3">
        <f>L48*M48*N48/1024</f>
        <v/>
      </c>
      <c r="S48" s="3" t="n">
        <v>0</v>
      </c>
      <c r="T48" s="3" t="n">
        <v>0</v>
      </c>
      <c r="U48" s="28">
        <f>((O48*8*1024)/$T48)/1000</f>
        <v/>
      </c>
      <c r="V48" s="28">
        <f>((P48*8*1024)/$T48)/1000</f>
        <v/>
      </c>
      <c r="W48" s="28">
        <f>((Q48*8*1024)/$T48)/1000</f>
        <v/>
      </c>
      <c r="X48" s="28">
        <f>((R48*8*1024)/$T48)/1000</f>
        <v/>
      </c>
      <c r="Y48" s="47" t="n"/>
    </row>
    <row r="49">
      <c r="A49" s="7" t="inlineStr">
        <is>
          <t>Conv + SiLU + BN</t>
        </is>
      </c>
      <c r="B49" s="7" t="inlineStr">
        <is>
          <t xml:space="preserve">Conv </t>
        </is>
      </c>
      <c r="C49" s="11" t="n">
        <v>32</v>
      </c>
      <c r="D49" s="11" t="n">
        <v>32</v>
      </c>
      <c r="E49" s="11" t="n">
        <v>192</v>
      </c>
      <c r="F49" s="2" t="n">
        <v>3</v>
      </c>
      <c r="G49" s="2" t="n">
        <v>192</v>
      </c>
      <c r="H49" s="2" t="n">
        <v>96</v>
      </c>
      <c r="I49" s="3" t="n">
        <v>96</v>
      </c>
      <c r="J49" s="3" t="n">
        <v>2</v>
      </c>
      <c r="K49" s="3" t="n">
        <v>0</v>
      </c>
      <c r="L49" s="13" t="n">
        <v>32</v>
      </c>
      <c r="M49" s="13" t="n">
        <v>32</v>
      </c>
      <c r="N49" s="13" t="n">
        <v>96</v>
      </c>
      <c r="O49" s="3">
        <f>C49*D49*E49/1024</f>
        <v/>
      </c>
      <c r="P49" s="3">
        <f>F49*F49*G49*H49/1024</f>
        <v/>
      </c>
      <c r="Q49" s="3">
        <f>I49*J49/1024</f>
        <v/>
      </c>
      <c r="R49" s="3">
        <f>L49*M49*N49/1024</f>
        <v/>
      </c>
      <c r="S49" s="3">
        <f>(L49*M49*N49)*(F49*F49*G49)/128</f>
        <v/>
      </c>
      <c r="T49" s="3">
        <f>(S49/$Y$2)/1000</f>
        <v/>
      </c>
      <c r="U49" s="26">
        <f>((O49*8*1024)/$T49)/1000</f>
        <v/>
      </c>
      <c r="V49" s="26">
        <f>((P49*8*1024)/$T49)/1000</f>
        <v/>
      </c>
      <c r="W49" s="26">
        <f>((Q49*8*1024)/$T49)/1000</f>
        <v/>
      </c>
      <c r="X49" s="26">
        <f>((R49*8*1024)/$T49)/1000</f>
        <v/>
      </c>
      <c r="Y49" s="48" t="n"/>
    </row>
    <row r="50" ht="14.4" customHeight="1">
      <c r="A50" s="7" t="inlineStr">
        <is>
          <t>Conv + SiLU + BN</t>
        </is>
      </c>
      <c r="B50" s="7" t="inlineStr">
        <is>
          <t xml:space="preserve">Conv </t>
        </is>
      </c>
      <c r="C50" s="11" t="n">
        <v>32</v>
      </c>
      <c r="D50" s="11" t="n">
        <v>32</v>
      </c>
      <c r="E50" s="11" t="n">
        <v>96</v>
      </c>
      <c r="F50" s="2" t="n">
        <v>1</v>
      </c>
      <c r="G50" s="2" t="n">
        <v>96</v>
      </c>
      <c r="H50" s="2" t="n">
        <v>384</v>
      </c>
      <c r="I50" s="3" t="n">
        <v>384</v>
      </c>
      <c r="J50" s="3" t="n">
        <v>2</v>
      </c>
      <c r="K50" s="3" t="n">
        <v>0</v>
      </c>
      <c r="L50" s="13" t="n">
        <v>32</v>
      </c>
      <c r="M50" s="13" t="n">
        <v>32</v>
      </c>
      <c r="N50" s="13" t="n">
        <v>384</v>
      </c>
      <c r="O50" s="3">
        <f>C50*D50*E50/1024</f>
        <v/>
      </c>
      <c r="P50" s="3">
        <f>F50*F50*G50*H50/1024</f>
        <v/>
      </c>
      <c r="Q50" s="3">
        <f>I50*J50/1024</f>
        <v/>
      </c>
      <c r="R50" s="3">
        <f>L50*M50*N50/1024</f>
        <v/>
      </c>
      <c r="S50" s="3">
        <f>(L50*M50*N50)*(F50*F50*G50)/128</f>
        <v/>
      </c>
      <c r="T50" s="3">
        <f>(S50/$Y$2)/1000</f>
        <v/>
      </c>
      <c r="U50" s="27">
        <f>((O50*8*1024)/$T50)/1000</f>
        <v/>
      </c>
      <c r="V50" s="26">
        <f>((P50*8*1024)/$T50)/1000</f>
        <v/>
      </c>
      <c r="W50" s="26">
        <f>((Q50*8*1024)/$T50)/1000</f>
        <v/>
      </c>
      <c r="X50" s="26">
        <f>((R50*8*1024)/$T50)/1000</f>
        <v/>
      </c>
      <c r="Y50" s="39" t="inlineStr">
        <is>
          <t>MV2 Block  Down Sampling Stride 2</t>
        </is>
      </c>
    </row>
    <row r="51">
      <c r="A51" s="7" t="inlineStr">
        <is>
          <t>Conv Depth Wise + SiLU + BN</t>
        </is>
      </c>
      <c r="B51" s="7" t="inlineStr">
        <is>
          <t xml:space="preserve">Conv Depth Wise </t>
        </is>
      </c>
      <c r="C51" s="11" t="n">
        <v>32</v>
      </c>
      <c r="D51" s="11" t="n">
        <v>32</v>
      </c>
      <c r="E51" s="11" t="n">
        <v>384</v>
      </c>
      <c r="F51" s="2" t="n">
        <v>3</v>
      </c>
      <c r="G51" s="2" t="n">
        <v>1</v>
      </c>
      <c r="H51" s="2" t="n">
        <v>384</v>
      </c>
      <c r="I51" s="3" t="n">
        <v>128</v>
      </c>
      <c r="J51" s="3" t="n">
        <v>2</v>
      </c>
      <c r="K51" s="3" t="n">
        <v>0</v>
      </c>
      <c r="L51" s="13" t="n">
        <v>32</v>
      </c>
      <c r="M51" s="13" t="n">
        <v>32</v>
      </c>
      <c r="N51" s="13" t="n">
        <v>384</v>
      </c>
      <c r="O51" s="3">
        <f>C51*D51*E51/1024</f>
        <v/>
      </c>
      <c r="P51" s="3">
        <f>F51*F51*G51*H51/1024</f>
        <v/>
      </c>
      <c r="Q51" s="3">
        <f>I51*J51/1024</f>
        <v/>
      </c>
      <c r="R51" s="3">
        <f>L51*M51*N51/1024</f>
        <v/>
      </c>
      <c r="S51" s="3">
        <f>(L51*M51*N51)*(F51*F51*G51)/128</f>
        <v/>
      </c>
      <c r="T51" s="3">
        <f>(S51/$Y$2)/1000</f>
        <v/>
      </c>
      <c r="U51" s="27">
        <f>((O51*8*1024)/$T51)/1000</f>
        <v/>
      </c>
      <c r="V51" s="26">
        <f>((P51*8*1024)/$T51)/1000</f>
        <v/>
      </c>
      <c r="W51" s="26">
        <f>((Q51*8*1024)/$T51)/1000</f>
        <v/>
      </c>
      <c r="X51" s="26">
        <f>((R51*8*1024)/$T51)/1000</f>
        <v/>
      </c>
      <c r="Y51" s="47" t="n"/>
    </row>
    <row r="52">
      <c r="A52" s="7" t="inlineStr">
        <is>
          <t xml:space="preserve">Stride </t>
        </is>
      </c>
      <c r="B52" s="7" t="inlineStr">
        <is>
          <t>Stride</t>
        </is>
      </c>
      <c r="C52" s="11" t="n">
        <v>32</v>
      </c>
      <c r="D52" s="11" t="n">
        <v>32</v>
      </c>
      <c r="E52" s="11" t="n">
        <v>384</v>
      </c>
      <c r="F52" s="2" t="n">
        <v>0</v>
      </c>
      <c r="G52" s="2" t="n">
        <v>0</v>
      </c>
      <c r="H52" s="2" t="n">
        <v>0</v>
      </c>
      <c r="I52" s="3" t="n">
        <v>0</v>
      </c>
      <c r="J52" s="3" t="n">
        <v>0</v>
      </c>
      <c r="K52" s="3" t="n">
        <v>0</v>
      </c>
      <c r="L52" s="13" t="n">
        <v>16</v>
      </c>
      <c r="M52" s="13" t="n">
        <v>16</v>
      </c>
      <c r="N52" s="13" t="n">
        <v>384</v>
      </c>
      <c r="O52" s="3">
        <f>C52*D52*E52/1024</f>
        <v/>
      </c>
      <c r="P52" s="3">
        <f>F52*F52*G52*H52/1024</f>
        <v/>
      </c>
      <c r="Q52" s="3">
        <f>I52*J52/1024</f>
        <v/>
      </c>
      <c r="R52" s="3">
        <f>L52*M52*N52/1024</f>
        <v/>
      </c>
      <c r="S52" s="3">
        <f>(C52*D52*E52)/128</f>
        <v/>
      </c>
      <c r="T52" s="3">
        <f>(S52/$Y$2)/1000</f>
        <v/>
      </c>
      <c r="U52" s="27">
        <f>((O52*8*1024)/$T52)/1000</f>
        <v/>
      </c>
      <c r="V52" s="26">
        <f>((P52*8*1024)/$T52)/1000</f>
        <v/>
      </c>
      <c r="W52" s="26">
        <f>((Q52*8*1024)/$T52)/1000</f>
        <v/>
      </c>
      <c r="X52" s="26">
        <f>((R52*8*1024)/$T52)/1000</f>
        <v/>
      </c>
      <c r="Y52" s="47" t="n"/>
    </row>
    <row r="53">
      <c r="A53" s="7" t="inlineStr">
        <is>
          <t>Conv + BN</t>
        </is>
      </c>
      <c r="B53" s="7" t="inlineStr">
        <is>
          <t xml:space="preserve">Conv </t>
        </is>
      </c>
      <c r="C53" s="11" t="n">
        <v>16</v>
      </c>
      <c r="D53" s="11" t="n">
        <v>16</v>
      </c>
      <c r="E53" s="11" t="n">
        <v>384</v>
      </c>
      <c r="F53" s="2" t="n">
        <v>1</v>
      </c>
      <c r="G53" s="2" t="n">
        <v>384</v>
      </c>
      <c r="H53" s="2" t="n">
        <v>128</v>
      </c>
      <c r="I53" s="3" t="n">
        <v>128</v>
      </c>
      <c r="J53" s="3" t="n">
        <v>2</v>
      </c>
      <c r="K53" s="3" t="n">
        <v>0</v>
      </c>
      <c r="L53" s="13" t="n">
        <v>16</v>
      </c>
      <c r="M53" s="13" t="n">
        <v>16</v>
      </c>
      <c r="N53" s="13" t="n">
        <v>128</v>
      </c>
      <c r="O53" s="3">
        <f>C53*D53*E53/1024</f>
        <v/>
      </c>
      <c r="P53" s="3">
        <f>F53*F53*G53*H53/1024</f>
        <v/>
      </c>
      <c r="Q53" s="3">
        <f>I53*J53/1024</f>
        <v/>
      </c>
      <c r="R53" s="3">
        <f>L53*M53*N53/1024</f>
        <v/>
      </c>
      <c r="S53" s="3">
        <f>(L53*M53*N53)*(F53*F53*G53)/128</f>
        <v/>
      </c>
      <c r="T53" s="3">
        <f>(S53/$Y$2)/1000</f>
        <v/>
      </c>
      <c r="U53" s="26">
        <f>((O53*8*1024)/$T53)/1000</f>
        <v/>
      </c>
      <c r="V53" s="26">
        <f>((P53*8*1024)/$T53)/1000</f>
        <v/>
      </c>
      <c r="W53" s="26">
        <f>((Q53*8*1024)/$T53)/1000</f>
        <v/>
      </c>
      <c r="X53" s="26">
        <f>((R53*8*1024)/$T53)/1000</f>
        <v/>
      </c>
      <c r="Y53" s="47" t="n"/>
    </row>
    <row r="54">
      <c r="A54" s="7" t="inlineStr">
        <is>
          <t>Conv + BN + SiLU</t>
        </is>
      </c>
      <c r="B54" s="7" t="inlineStr">
        <is>
          <t xml:space="preserve">Conv </t>
        </is>
      </c>
      <c r="C54" s="11" t="n">
        <v>16</v>
      </c>
      <c r="D54" s="11" t="n">
        <v>16</v>
      </c>
      <c r="E54" s="11" t="n">
        <v>128</v>
      </c>
      <c r="F54" s="2" t="n">
        <v>3</v>
      </c>
      <c r="G54" s="2" t="n">
        <v>128</v>
      </c>
      <c r="H54" s="2" t="n">
        <v>128</v>
      </c>
      <c r="I54" s="3" t="n">
        <v>128</v>
      </c>
      <c r="J54" s="3" t="n">
        <v>2</v>
      </c>
      <c r="K54" s="3" t="n">
        <v>0</v>
      </c>
      <c r="L54" s="13" t="n">
        <v>16</v>
      </c>
      <c r="M54" s="13" t="n">
        <v>16</v>
      </c>
      <c r="N54" s="13" t="n">
        <v>128</v>
      </c>
      <c r="O54" s="3">
        <f>C54*D54*E54/1024</f>
        <v/>
      </c>
      <c r="P54" s="3">
        <f>F54*F54*G54*H54/1024</f>
        <v/>
      </c>
      <c r="Q54" s="3">
        <f>I54*J54/1024</f>
        <v/>
      </c>
      <c r="R54" s="3">
        <f>L54*M54*N54/1024</f>
        <v/>
      </c>
      <c r="S54" s="3">
        <f>(L54*M54*N54)*(F54*F54*G54)/128</f>
        <v/>
      </c>
      <c r="T54" s="3">
        <f>(S54/$Y$2)/1000</f>
        <v/>
      </c>
      <c r="U54" s="26">
        <f>((O54*8*1024)/$T54)/1000</f>
        <v/>
      </c>
      <c r="V54" s="26">
        <f>((P54*8*1024)/$T54)/1000</f>
        <v/>
      </c>
      <c r="W54" s="26">
        <f>((Q54*8*1024)/$T54)/1000</f>
        <v/>
      </c>
      <c r="X54" s="26">
        <f>((R54*8*1024)/$T54)/1000</f>
        <v/>
      </c>
      <c r="Y54" s="34" t="inlineStr">
        <is>
          <t>Local rep</t>
        </is>
      </c>
    </row>
    <row r="55">
      <c r="A55" s="7" t="inlineStr">
        <is>
          <t>Conv + BN + SiLU</t>
        </is>
      </c>
      <c r="B55" s="7" t="inlineStr">
        <is>
          <t xml:space="preserve">Conv </t>
        </is>
      </c>
      <c r="C55" s="11" t="n">
        <v>16</v>
      </c>
      <c r="D55" s="11" t="n">
        <v>16</v>
      </c>
      <c r="E55" s="11" t="n">
        <v>128</v>
      </c>
      <c r="F55" s="2" t="n">
        <v>1</v>
      </c>
      <c r="G55" s="2" t="n">
        <v>128</v>
      </c>
      <c r="H55" s="2" t="n">
        <v>192</v>
      </c>
      <c r="I55" s="3" t="n">
        <v>0</v>
      </c>
      <c r="J55" s="3" t="n">
        <v>0</v>
      </c>
      <c r="K55" s="3" t="n">
        <v>0</v>
      </c>
      <c r="L55" s="13" t="n">
        <v>16</v>
      </c>
      <c r="M55" s="13" t="n">
        <v>16</v>
      </c>
      <c r="N55" s="13" t="n">
        <v>192</v>
      </c>
      <c r="O55" s="3">
        <f>C55*D55*E55/1024</f>
        <v/>
      </c>
      <c r="P55" s="3">
        <f>F55*F55*G55*H55/1024</f>
        <v/>
      </c>
      <c r="Q55" s="3">
        <f>I55/1024</f>
        <v/>
      </c>
      <c r="R55" s="3">
        <f>L55*M55*N55/1024</f>
        <v/>
      </c>
      <c r="S55" s="3">
        <f>(L55*M55*N55)*(F55*F55*G55)/128</f>
        <v/>
      </c>
      <c r="T55" s="3">
        <f>(S55/$Y$2)/1000</f>
        <v/>
      </c>
      <c r="U55" s="26">
        <f>((O55*8*1024)/$T55)/1000</f>
        <v/>
      </c>
      <c r="V55" s="26">
        <f>((P55*8*1024)/$T55)/1000</f>
        <v/>
      </c>
      <c r="W55" s="26">
        <f>((Q55*8*1024)/$T55)/1000</f>
        <v/>
      </c>
      <c r="X55" s="26">
        <f>((R55*8*1024)/$T55)/1000</f>
        <v/>
      </c>
      <c r="Y55" s="48" t="n"/>
    </row>
    <row r="56">
      <c r="A56" s="5" t="inlineStr">
        <is>
          <t>Reshape</t>
        </is>
      </c>
      <c r="B56" s="6" t="inlineStr">
        <is>
          <t xml:space="preserve">Patch unfolding </t>
        </is>
      </c>
      <c r="C56" s="11" t="n">
        <v>16</v>
      </c>
      <c r="D56" s="11" t="n">
        <v>16</v>
      </c>
      <c r="E56" s="11" t="n">
        <v>192</v>
      </c>
      <c r="F56" s="2" t="n">
        <v>0</v>
      </c>
      <c r="G56" s="2" t="n">
        <v>0</v>
      </c>
      <c r="H56" s="2" t="n">
        <v>0</v>
      </c>
      <c r="I56" s="3" t="n">
        <v>0</v>
      </c>
      <c r="J56" s="3" t="n">
        <v>0</v>
      </c>
      <c r="K56" s="3" t="n">
        <v>0</v>
      </c>
      <c r="L56" s="13" t="n">
        <v>192</v>
      </c>
      <c r="M56" s="13" t="n">
        <v>64</v>
      </c>
      <c r="N56" s="13" t="n">
        <v>4</v>
      </c>
      <c r="O56" s="3">
        <f>C56*D56*E56/1024</f>
        <v/>
      </c>
      <c r="P56" s="3">
        <f>F56*F56*G56*H56/1024</f>
        <v/>
      </c>
      <c r="Q56" s="3">
        <f>I56/1024</f>
        <v/>
      </c>
      <c r="R56" s="3">
        <f>L56*M56*N56/1024</f>
        <v/>
      </c>
      <c r="S56" s="3">
        <f>(F56*F56)*L56*M56*N56/128</f>
        <v/>
      </c>
      <c r="T56" s="3">
        <f>(S56/$Y$2)/1000</f>
        <v/>
      </c>
      <c r="U56" s="28">
        <f>((O56*8*1024)/$T56)/1000</f>
        <v/>
      </c>
      <c r="V56" s="28">
        <f>((P56*8*1024)/$T56)/1000</f>
        <v/>
      </c>
      <c r="W56" s="28">
        <f>((Q56*8*1024)/$T56)/1000</f>
        <v/>
      </c>
      <c r="X56" s="28">
        <f>((R56*8*1024)/$T56)/1000</f>
        <v/>
      </c>
    </row>
    <row r="57">
      <c r="A57" s="7" t="inlineStr">
        <is>
          <t>Layer Norm</t>
        </is>
      </c>
      <c r="B57" s="7" t="inlineStr">
        <is>
          <t>Layer Norm</t>
        </is>
      </c>
      <c r="C57" s="11" t="n">
        <v>192</v>
      </c>
      <c r="D57" s="11" t="n">
        <v>64</v>
      </c>
      <c r="E57" s="11" t="n">
        <v>4</v>
      </c>
      <c r="F57" s="2" t="n">
        <v>192</v>
      </c>
      <c r="G57" s="2" t="n">
        <v>2</v>
      </c>
      <c r="H57" s="2" t="n">
        <v>0</v>
      </c>
      <c r="I57" s="3" t="n">
        <v>0</v>
      </c>
      <c r="J57" s="3" t="n">
        <v>0</v>
      </c>
      <c r="K57" s="3" t="n">
        <v>0</v>
      </c>
      <c r="L57" s="13" t="n">
        <v>192</v>
      </c>
      <c r="M57" s="13" t="n">
        <v>64</v>
      </c>
      <c r="N57" s="13" t="n">
        <v>4</v>
      </c>
      <c r="O57" s="3">
        <f>C57*D57*E57/1024</f>
        <v/>
      </c>
      <c r="P57" s="3">
        <f>F57*G57/1024</f>
        <v/>
      </c>
      <c r="Q57" s="3" t="n">
        <v>0</v>
      </c>
      <c r="R57" s="3">
        <f>L57*M57*N57/1024</f>
        <v/>
      </c>
      <c r="S57" s="3">
        <f>C57*D57*E57*7/128</f>
        <v/>
      </c>
      <c r="T57" s="3">
        <f>(S57/$Y$2)/1000</f>
        <v/>
      </c>
      <c r="U57" s="26">
        <f>((O57*8*1024)/$T57)/1000</f>
        <v/>
      </c>
      <c r="V57" s="26">
        <f>((P57*8*1024)/$T57)/1000</f>
        <v/>
      </c>
      <c r="W57" s="26">
        <f>((Q57*8*1024)/$T57)/1000</f>
        <v/>
      </c>
      <c r="X57" s="26">
        <f>((R57*8*1024)/$T57)/1000</f>
        <v/>
      </c>
      <c r="AA57" s="32" t="inlineStr">
        <is>
          <t>4X</t>
        </is>
      </c>
      <c r="AB57" s="49" t="n"/>
    </row>
    <row r="58">
      <c r="A58" s="7" t="inlineStr">
        <is>
          <t>Projection</t>
        </is>
      </c>
      <c r="B58" s="7" t="inlineStr">
        <is>
          <t>Q</t>
        </is>
      </c>
      <c r="C58" s="11" t="n">
        <v>192</v>
      </c>
      <c r="D58" s="11" t="n">
        <v>64</v>
      </c>
      <c r="E58" s="11" t="n">
        <v>0</v>
      </c>
      <c r="F58" s="2" t="n">
        <v>192</v>
      </c>
      <c r="G58" s="2" t="n">
        <v>192</v>
      </c>
      <c r="H58" s="2" t="n">
        <v>0</v>
      </c>
      <c r="I58" s="3" t="n">
        <v>0</v>
      </c>
      <c r="J58" s="3" t="n">
        <v>0</v>
      </c>
      <c r="K58" s="3" t="n">
        <v>0</v>
      </c>
      <c r="L58" s="13" t="n">
        <v>192</v>
      </c>
      <c r="M58" s="13" t="n">
        <v>64</v>
      </c>
      <c r="N58" s="13" t="n">
        <v>0</v>
      </c>
      <c r="O58" s="3">
        <f>C58*D58/1024</f>
        <v/>
      </c>
      <c r="P58" s="3">
        <f>F58*G58/1024</f>
        <v/>
      </c>
      <c r="Q58" s="3" t="n">
        <v>0</v>
      </c>
      <c r="R58" s="3">
        <f>L58*M58/1024</f>
        <v/>
      </c>
      <c r="S58" s="3">
        <f>C58*D58*F58/128</f>
        <v/>
      </c>
      <c r="T58" s="3">
        <f>(S58/$Y$2)/1000</f>
        <v/>
      </c>
      <c r="U58" s="26">
        <f>((O58*8*1024)/$T58)/1000</f>
        <v/>
      </c>
      <c r="V58" s="26">
        <f>((P58*8*1024)/$T58)/1000</f>
        <v/>
      </c>
      <c r="W58" s="26">
        <f>((Q58*8*1024)/$T58)/1000</f>
        <v/>
      </c>
      <c r="X58" s="26">
        <f>((R58*8*1024)/$T58)/1000</f>
        <v/>
      </c>
      <c r="AA58" s="50" t="n"/>
      <c r="AB58" s="47" t="n"/>
    </row>
    <row r="59">
      <c r="A59" s="7" t="inlineStr">
        <is>
          <t>Projection</t>
        </is>
      </c>
      <c r="B59" s="7" t="inlineStr">
        <is>
          <t>K</t>
        </is>
      </c>
      <c r="C59" s="11" t="n">
        <v>192</v>
      </c>
      <c r="D59" s="11" t="n">
        <v>64</v>
      </c>
      <c r="E59" s="11" t="n">
        <v>0</v>
      </c>
      <c r="F59" s="2" t="n">
        <v>144</v>
      </c>
      <c r="G59" s="2" t="n">
        <v>144</v>
      </c>
      <c r="H59" s="2" t="n">
        <v>0</v>
      </c>
      <c r="I59" s="3" t="n">
        <v>0</v>
      </c>
      <c r="J59" s="3" t="n">
        <v>0</v>
      </c>
      <c r="K59" s="3" t="n">
        <v>0</v>
      </c>
      <c r="L59" s="13" t="n">
        <v>192</v>
      </c>
      <c r="M59" s="13" t="n">
        <v>64</v>
      </c>
      <c r="N59" s="13" t="n">
        <v>0</v>
      </c>
      <c r="O59" s="3">
        <f>C59*D59/1024</f>
        <v/>
      </c>
      <c r="P59" s="3">
        <f>F59*G59/1024</f>
        <v/>
      </c>
      <c r="Q59" s="3" t="n">
        <v>0</v>
      </c>
      <c r="R59" s="3">
        <f>L59*M59/1024</f>
        <v/>
      </c>
      <c r="S59" s="3">
        <f>C59*D59*F59/128</f>
        <v/>
      </c>
      <c r="T59" s="3">
        <f>(S59/$Y$2)/1000</f>
        <v/>
      </c>
      <c r="U59" s="26">
        <f>((O59*8*1024)/$T59)/1000</f>
        <v/>
      </c>
      <c r="V59" s="26">
        <f>((P59*8*1024)/$T59)/1000</f>
        <v/>
      </c>
      <c r="W59" s="26">
        <f>((Q59*8*1024)/$T59)/1000</f>
        <v/>
      </c>
      <c r="X59" s="26">
        <f>((R59*8*1024)/$T59)/1000</f>
        <v/>
      </c>
      <c r="AA59" s="50" t="n"/>
      <c r="AB59" s="47" t="n"/>
    </row>
    <row r="60">
      <c r="A60" s="7" t="inlineStr">
        <is>
          <t>Projection</t>
        </is>
      </c>
      <c r="B60" s="7" t="inlineStr">
        <is>
          <t>V</t>
        </is>
      </c>
      <c r="C60" s="11" t="n">
        <v>192</v>
      </c>
      <c r="D60" s="11" t="n">
        <v>64</v>
      </c>
      <c r="E60" s="11" t="n">
        <v>0</v>
      </c>
      <c r="F60" s="2" t="n">
        <v>144</v>
      </c>
      <c r="G60" s="2" t="n">
        <v>144</v>
      </c>
      <c r="H60" s="2" t="n">
        <v>0</v>
      </c>
      <c r="I60" s="3" t="n">
        <v>0</v>
      </c>
      <c r="J60" s="3" t="n">
        <v>0</v>
      </c>
      <c r="K60" s="3" t="n">
        <v>0</v>
      </c>
      <c r="L60" s="13" t="n">
        <v>192</v>
      </c>
      <c r="M60" s="13" t="n">
        <v>64</v>
      </c>
      <c r="N60" s="13" t="n">
        <v>0</v>
      </c>
      <c r="O60" s="3">
        <f>C60*D60/1024</f>
        <v/>
      </c>
      <c r="P60" s="3">
        <f>F60*G60/1024</f>
        <v/>
      </c>
      <c r="Q60" s="3" t="n">
        <v>0</v>
      </c>
      <c r="R60" s="3">
        <f>L60*M60/1024</f>
        <v/>
      </c>
      <c r="S60" s="3">
        <f>C60*D60*F60/128</f>
        <v/>
      </c>
      <c r="T60" s="3">
        <f>(S60/$Y$2)/1000</f>
        <v/>
      </c>
      <c r="U60" s="26">
        <f>((O60*8*1024)/$T60)/1000</f>
        <v/>
      </c>
      <c r="V60" s="26">
        <f>((P60*8*1024)/$T60)/1000</f>
        <v/>
      </c>
      <c r="W60" s="26">
        <f>((Q60*8*1024)/$T60)/1000</f>
        <v/>
      </c>
      <c r="X60" s="26">
        <f>((R60*8*1024)/$T60)/1000</f>
        <v/>
      </c>
      <c r="AA60" s="50" t="n"/>
      <c r="AB60" s="47" t="n"/>
    </row>
    <row r="61">
      <c r="A61" s="5" t="inlineStr">
        <is>
          <t>Reshape</t>
        </is>
      </c>
      <c r="B61" s="7" t="inlineStr">
        <is>
          <t>Head reshape Q</t>
        </is>
      </c>
      <c r="C61" s="11" t="n">
        <v>192</v>
      </c>
      <c r="D61" s="11" t="n">
        <v>64</v>
      </c>
      <c r="E61" s="11" t="n">
        <v>0</v>
      </c>
      <c r="F61" s="2" t="n">
        <v>0</v>
      </c>
      <c r="G61" s="2" t="n">
        <v>0</v>
      </c>
      <c r="H61" s="2" t="n">
        <v>0</v>
      </c>
      <c r="I61" s="3" t="n">
        <v>0</v>
      </c>
      <c r="J61" s="3" t="n">
        <v>0</v>
      </c>
      <c r="K61" s="3" t="n">
        <v>0</v>
      </c>
      <c r="L61" s="13" t="n">
        <v>48</v>
      </c>
      <c r="M61" s="13" t="n">
        <v>64</v>
      </c>
      <c r="N61" s="13" t="n">
        <v>4</v>
      </c>
      <c r="O61" s="3">
        <f>C61*D61/1024</f>
        <v/>
      </c>
      <c r="P61" s="3">
        <f>F61*G61/1024</f>
        <v/>
      </c>
      <c r="Q61" s="3" t="n">
        <v>0</v>
      </c>
      <c r="R61" s="3">
        <f>L61*M61*N61/1024</f>
        <v/>
      </c>
      <c r="S61" s="3">
        <f>0</f>
        <v/>
      </c>
      <c r="T61" s="3">
        <f>0</f>
        <v/>
      </c>
      <c r="U61" s="26" t="n">
        <v>0</v>
      </c>
      <c r="V61" s="26" t="n">
        <v>0</v>
      </c>
      <c r="W61" s="26" t="n">
        <v>0</v>
      </c>
      <c r="X61" s="26" t="n">
        <v>0</v>
      </c>
      <c r="AA61" s="50" t="n"/>
      <c r="AB61" s="47" t="n"/>
    </row>
    <row r="62">
      <c r="A62" s="5" t="inlineStr">
        <is>
          <t>Reshape</t>
        </is>
      </c>
      <c r="B62" s="7" t="inlineStr">
        <is>
          <t>Head reshape K</t>
        </is>
      </c>
      <c r="C62" s="11" t="n">
        <v>192</v>
      </c>
      <c r="D62" s="11" t="n">
        <v>64</v>
      </c>
      <c r="E62" s="11" t="n">
        <v>0</v>
      </c>
      <c r="F62" s="2" t="n">
        <v>0</v>
      </c>
      <c r="G62" s="2" t="n">
        <v>0</v>
      </c>
      <c r="H62" s="2" t="n">
        <v>0</v>
      </c>
      <c r="I62" s="3" t="n">
        <v>0</v>
      </c>
      <c r="J62" s="3" t="n">
        <v>0</v>
      </c>
      <c r="K62" s="3" t="n">
        <v>0</v>
      </c>
      <c r="L62" s="13" t="n">
        <v>48</v>
      </c>
      <c r="M62" s="13" t="n">
        <v>64</v>
      </c>
      <c r="N62" s="13" t="n">
        <v>4</v>
      </c>
      <c r="O62" s="3">
        <f>C62*D62/1024</f>
        <v/>
      </c>
      <c r="P62" s="3">
        <f>F62*G62/1024</f>
        <v/>
      </c>
      <c r="Q62" s="3" t="n">
        <v>0</v>
      </c>
      <c r="R62" s="3">
        <f>L62*M62*N62/1024</f>
        <v/>
      </c>
      <c r="S62" s="3">
        <f>0</f>
        <v/>
      </c>
      <c r="T62" s="3">
        <f>0</f>
        <v/>
      </c>
      <c r="U62" s="26" t="n">
        <v>0</v>
      </c>
      <c r="V62" s="26" t="n">
        <v>0</v>
      </c>
      <c r="W62" s="26" t="n">
        <v>0</v>
      </c>
      <c r="X62" s="26" t="n">
        <v>0</v>
      </c>
      <c r="AA62" s="50" t="n"/>
      <c r="AB62" s="47" t="n"/>
    </row>
    <row r="63">
      <c r="A63" s="5" t="inlineStr">
        <is>
          <t>Reshape</t>
        </is>
      </c>
      <c r="B63" s="7" t="inlineStr">
        <is>
          <t>Head reshape V</t>
        </is>
      </c>
      <c r="C63" s="11" t="n">
        <v>192</v>
      </c>
      <c r="D63" s="11" t="n">
        <v>64</v>
      </c>
      <c r="E63" s="11" t="n">
        <v>0</v>
      </c>
      <c r="F63" s="2" t="n">
        <v>0</v>
      </c>
      <c r="G63" s="2" t="n">
        <v>0</v>
      </c>
      <c r="H63" s="2" t="n">
        <v>0</v>
      </c>
      <c r="I63" s="3" t="n">
        <v>0</v>
      </c>
      <c r="J63" s="3" t="n">
        <v>0</v>
      </c>
      <c r="K63" s="3" t="n">
        <v>0</v>
      </c>
      <c r="L63" s="13" t="n">
        <v>48</v>
      </c>
      <c r="M63" s="13" t="n">
        <v>64</v>
      </c>
      <c r="N63" s="13" t="n">
        <v>4</v>
      </c>
      <c r="O63" s="3">
        <f>C63*D63/1024</f>
        <v/>
      </c>
      <c r="P63" s="3">
        <f>F63*G63/1024</f>
        <v/>
      </c>
      <c r="Q63" s="3" t="n">
        <v>0</v>
      </c>
      <c r="R63" s="3">
        <f>L63*M63*N63/1024</f>
        <v/>
      </c>
      <c r="S63" s="3">
        <f>0</f>
        <v/>
      </c>
      <c r="T63" s="3">
        <f>0</f>
        <v/>
      </c>
      <c r="U63" s="26" t="n">
        <v>0</v>
      </c>
      <c r="V63" s="26" t="n">
        <v>0</v>
      </c>
      <c r="W63" s="26" t="n">
        <v>0</v>
      </c>
      <c r="X63" s="26" t="n">
        <v>0</v>
      </c>
      <c r="AA63" s="50" t="n"/>
      <c r="AB63" s="47" t="n"/>
    </row>
    <row r="64">
      <c r="A64" s="7" t="inlineStr">
        <is>
          <t>Mat mul</t>
        </is>
      </c>
      <c r="B64" s="7" t="inlineStr">
        <is>
          <t>QKt</t>
        </is>
      </c>
      <c r="C64" s="11" t="n">
        <v>48</v>
      </c>
      <c r="D64" s="11" t="n">
        <v>64</v>
      </c>
      <c r="E64" s="11" t="n">
        <v>0</v>
      </c>
      <c r="F64" s="2" t="n">
        <v>48</v>
      </c>
      <c r="G64" s="2" t="n">
        <v>64</v>
      </c>
      <c r="H64" s="2" t="n">
        <v>0</v>
      </c>
      <c r="I64" s="3" t="n">
        <v>0</v>
      </c>
      <c r="J64" s="3" t="n">
        <v>0</v>
      </c>
      <c r="K64" s="3" t="n">
        <v>0</v>
      </c>
      <c r="L64" s="13" t="n">
        <v>64</v>
      </c>
      <c r="M64" s="13" t="n">
        <v>64</v>
      </c>
      <c r="N64" s="13" t="n">
        <v>0</v>
      </c>
      <c r="O64" s="3">
        <f>C64*D64/1024</f>
        <v/>
      </c>
      <c r="P64" s="3">
        <f>F64*G64/1024</f>
        <v/>
      </c>
      <c r="Q64" s="3" t="n">
        <v>0</v>
      </c>
      <c r="R64" s="3">
        <f>L64*M64/1024</f>
        <v/>
      </c>
      <c r="S64" s="3">
        <f>(C64*D64*G64/128)*2</f>
        <v/>
      </c>
      <c r="T64" s="3">
        <f>(S64/$Y$2)/1000</f>
        <v/>
      </c>
      <c r="U64" s="26">
        <f>((O64*8*1024)/$T64)/1000</f>
        <v/>
      </c>
      <c r="V64" s="26">
        <f>((P64*8*1024)/$T64)/1000</f>
        <v/>
      </c>
      <c r="W64" s="26">
        <f>((Q64*8*1024)/$T64)/1000</f>
        <v/>
      </c>
      <c r="X64" s="26">
        <f>((R64*8*1024)/$T64)/1000</f>
        <v/>
      </c>
      <c r="Y64" s="34" t="inlineStr">
        <is>
          <t>4X</t>
        </is>
      </c>
      <c r="Z64" s="49" t="n"/>
      <c r="AA64" s="50" t="n"/>
      <c r="AB64" s="47" t="n"/>
    </row>
    <row r="65">
      <c r="A65" s="7" t="inlineStr">
        <is>
          <t>Scaling</t>
        </is>
      </c>
      <c r="B65" s="7" t="inlineStr">
        <is>
          <t>Scaling</t>
        </is>
      </c>
      <c r="C65" s="11" t="n">
        <v>64</v>
      </c>
      <c r="D65" s="11" t="n">
        <v>64</v>
      </c>
      <c r="E65" s="11" t="n">
        <v>0</v>
      </c>
      <c r="F65" s="2" t="n">
        <v>0</v>
      </c>
      <c r="G65" s="2" t="n">
        <v>0</v>
      </c>
      <c r="H65" s="2" t="n">
        <v>0</v>
      </c>
      <c r="I65" s="3" t="n">
        <v>0</v>
      </c>
      <c r="J65" s="3" t="n">
        <v>0</v>
      </c>
      <c r="K65" s="3" t="n">
        <v>0</v>
      </c>
      <c r="L65" s="13" t="n">
        <v>64</v>
      </c>
      <c r="M65" s="13" t="n">
        <v>64</v>
      </c>
      <c r="N65" s="13" t="n">
        <v>0</v>
      </c>
      <c r="O65" s="3">
        <f>C65*D65/1024</f>
        <v/>
      </c>
      <c r="P65" s="3">
        <f>F65*G65/1024</f>
        <v/>
      </c>
      <c r="Q65" s="3" t="n">
        <v>0</v>
      </c>
      <c r="R65" s="3">
        <f>L65*M65/1024</f>
        <v/>
      </c>
      <c r="S65" s="3">
        <f>C65*D65/128</f>
        <v/>
      </c>
      <c r="T65" s="3">
        <f>(S65/$Y$2)/1000</f>
        <v/>
      </c>
      <c r="U65" s="26">
        <f>((O65*8*1024)/$T65)/1000</f>
        <v/>
      </c>
      <c r="V65" s="26">
        <f>((P65*8*1024)/$T65)/1000</f>
        <v/>
      </c>
      <c r="W65" s="26">
        <f>((Q65*8*1024)/$T65)/1000</f>
        <v/>
      </c>
      <c r="X65" s="26">
        <f>((R65*8*1024)/$T65)/1000</f>
        <v/>
      </c>
      <c r="Z65" s="47" t="n"/>
      <c r="AA65" s="50" t="n"/>
      <c r="AB65" s="47" t="n"/>
    </row>
    <row r="66">
      <c r="A66" s="7" t="inlineStr">
        <is>
          <t>Softmax</t>
        </is>
      </c>
      <c r="B66" s="7" t="inlineStr">
        <is>
          <t>Row</t>
        </is>
      </c>
      <c r="C66" s="11" t="n">
        <v>64</v>
      </c>
      <c r="D66" s="11" t="n">
        <v>64</v>
      </c>
      <c r="E66" s="11" t="n">
        <v>0</v>
      </c>
      <c r="F66" s="2" t="n">
        <v>0</v>
      </c>
      <c r="G66" s="2" t="n">
        <v>0</v>
      </c>
      <c r="H66" s="2" t="n">
        <v>0</v>
      </c>
      <c r="I66" s="3" t="n">
        <v>0</v>
      </c>
      <c r="J66" s="3" t="n">
        <v>0</v>
      </c>
      <c r="K66" s="3" t="n">
        <v>0</v>
      </c>
      <c r="L66" s="13" t="n">
        <v>64</v>
      </c>
      <c r="M66" s="13" t="n">
        <v>64</v>
      </c>
      <c r="N66" s="13" t="n">
        <v>0</v>
      </c>
      <c r="O66" s="3">
        <f>C66*D66/1024</f>
        <v/>
      </c>
      <c r="P66" s="3">
        <f>F66*G66/1024</f>
        <v/>
      </c>
      <c r="Q66" s="3" t="n">
        <v>0</v>
      </c>
      <c r="R66" s="3">
        <f>L66*M66/1024</f>
        <v/>
      </c>
      <c r="S66" s="3">
        <f>C66*D66*5/128</f>
        <v/>
      </c>
      <c r="T66" s="3">
        <f>(S66/$Y$2)/1000</f>
        <v/>
      </c>
      <c r="U66" s="26">
        <f>((O66*8*1024)/$T66)/1000</f>
        <v/>
      </c>
      <c r="V66" s="26">
        <f>((P66*8*1024)/$T66)/1000</f>
        <v/>
      </c>
      <c r="W66" s="26">
        <f>((Q66*8*1024)/$T66)/1000</f>
        <v/>
      </c>
      <c r="X66" s="26">
        <f>((R66*8*1024)/$T66)/1000</f>
        <v/>
      </c>
      <c r="Z66" s="47" t="n"/>
      <c r="AA66" s="50" t="n"/>
      <c r="AB66" s="47" t="n"/>
    </row>
    <row r="67">
      <c r="A67" s="7" t="inlineStr">
        <is>
          <t>Mat mul</t>
        </is>
      </c>
      <c r="B67" s="7" t="inlineStr">
        <is>
          <t>(QKtV)t</t>
        </is>
      </c>
      <c r="C67" s="11" t="n">
        <v>64</v>
      </c>
      <c r="D67" s="11" t="n">
        <v>64</v>
      </c>
      <c r="E67" s="11" t="n">
        <v>0</v>
      </c>
      <c r="F67" s="2" t="n">
        <v>48</v>
      </c>
      <c r="G67" s="2" t="n">
        <v>64</v>
      </c>
      <c r="H67" s="2" t="n">
        <v>0</v>
      </c>
      <c r="I67" s="3" t="n">
        <v>0</v>
      </c>
      <c r="J67" s="3" t="n">
        <v>0</v>
      </c>
      <c r="K67" s="3" t="n">
        <v>0</v>
      </c>
      <c r="L67" s="13" t="n">
        <v>48</v>
      </c>
      <c r="M67" s="13" t="n">
        <v>64</v>
      </c>
      <c r="N67" s="13" t="n">
        <v>0</v>
      </c>
      <c r="O67" s="3">
        <f>C67*D67/1024</f>
        <v/>
      </c>
      <c r="P67" s="3">
        <f>F67*G67/1024</f>
        <v/>
      </c>
      <c r="Q67" s="3" t="n">
        <v>0</v>
      </c>
      <c r="R67" s="3">
        <f>L67*M67/1024</f>
        <v/>
      </c>
      <c r="S67" s="3">
        <f>C67*D67*F67/128</f>
        <v/>
      </c>
      <c r="T67" s="3">
        <f>(S67/$Y$2)/1000</f>
        <v/>
      </c>
      <c r="U67" s="26">
        <f>((O67*8*1024)/$T67)/1000</f>
        <v/>
      </c>
      <c r="V67" s="26">
        <f>((P67*8*1024)/$T67)/1000</f>
        <v/>
      </c>
      <c r="W67" s="26">
        <f>((Q67*8*1024)/$T67)/1000</f>
        <v/>
      </c>
      <c r="X67" s="26">
        <f>((R67*8*1024)/$T67)/1000</f>
        <v/>
      </c>
      <c r="Y67" s="46" t="n"/>
      <c r="Z67" s="48" t="n"/>
      <c r="AA67" s="50" t="n"/>
      <c r="AB67" s="47" t="n"/>
    </row>
    <row r="68">
      <c r="A68" s="5" t="inlineStr">
        <is>
          <t>Reshape</t>
        </is>
      </c>
      <c r="B68" s="7" t="inlineStr">
        <is>
          <t>Concatenate heads</t>
        </is>
      </c>
      <c r="C68" s="11" t="n">
        <v>48</v>
      </c>
      <c r="D68" s="11" t="n">
        <v>64</v>
      </c>
      <c r="E68" s="11" t="n">
        <v>4</v>
      </c>
      <c r="F68" s="2" t="n">
        <v>0</v>
      </c>
      <c r="G68" s="2" t="n">
        <v>0</v>
      </c>
      <c r="H68" s="2" t="n">
        <v>0</v>
      </c>
      <c r="I68" s="3" t="n">
        <v>0</v>
      </c>
      <c r="J68" s="3" t="n">
        <v>0</v>
      </c>
      <c r="K68" s="3" t="n">
        <v>0</v>
      </c>
      <c r="L68" s="13" t="n">
        <v>192</v>
      </c>
      <c r="M68" s="13" t="n">
        <v>64</v>
      </c>
      <c r="N68" s="13" t="n">
        <v>0</v>
      </c>
      <c r="O68" s="3">
        <f>C68*D68*E68/1024</f>
        <v/>
      </c>
      <c r="P68" s="3">
        <f>F68*G68/1024</f>
        <v/>
      </c>
      <c r="Q68" s="3" t="n">
        <v>0</v>
      </c>
      <c r="R68" s="3">
        <f>L68*M68/1024</f>
        <v/>
      </c>
      <c r="S68" s="3" t="n">
        <v>0</v>
      </c>
      <c r="T68" s="3" t="n">
        <v>0</v>
      </c>
      <c r="U68" s="26" t="n">
        <v>0</v>
      </c>
      <c r="V68" s="26" t="n">
        <v>0</v>
      </c>
      <c r="W68" s="26" t="n">
        <v>0</v>
      </c>
      <c r="X68" s="26" t="n">
        <v>0</v>
      </c>
      <c r="Y68" s="17" t="inlineStr">
        <is>
          <t>total 4[us]</t>
        </is>
      </c>
      <c r="Z68" s="17">
        <f>4*(T64+T65+T66+T67)</f>
        <v/>
      </c>
      <c r="AA68" s="50" t="n"/>
      <c r="AB68" s="47" t="n"/>
    </row>
    <row r="69">
      <c r="A69" s="7" t="inlineStr">
        <is>
          <t>Mat mul</t>
        </is>
      </c>
      <c r="B69" s="7" t="inlineStr">
        <is>
          <t>Out projection</t>
        </is>
      </c>
      <c r="C69" s="11" t="n">
        <v>192</v>
      </c>
      <c r="D69" s="11" t="n">
        <v>64</v>
      </c>
      <c r="E69" s="11" t="n">
        <v>0</v>
      </c>
      <c r="F69" s="2" t="n">
        <v>192</v>
      </c>
      <c r="G69" s="2" t="n">
        <v>192</v>
      </c>
      <c r="H69" s="2" t="n">
        <v>0</v>
      </c>
      <c r="I69" s="3" t="n">
        <v>144</v>
      </c>
      <c r="J69" s="3" t="n">
        <v>0</v>
      </c>
      <c r="K69" s="3" t="n">
        <v>0</v>
      </c>
      <c r="L69" s="13" t="n">
        <v>192</v>
      </c>
      <c r="M69" s="13" t="n">
        <v>64</v>
      </c>
      <c r="N69" s="13" t="n">
        <v>0</v>
      </c>
      <c r="O69" s="3">
        <f>C69*D69/1024</f>
        <v/>
      </c>
      <c r="P69" s="3">
        <f>F69*G69/1024</f>
        <v/>
      </c>
      <c r="Q69" s="3">
        <f>I69/128</f>
        <v/>
      </c>
      <c r="R69" s="3">
        <f>L69*M69/1024</f>
        <v/>
      </c>
      <c r="S69" s="3">
        <f>C69*D69*F69/128</f>
        <v/>
      </c>
      <c r="T69" s="3">
        <f>(S69/$Y$2)/1000</f>
        <v/>
      </c>
      <c r="U69" s="26">
        <f>((O69*8*1024)/$T69)/1000</f>
        <v/>
      </c>
      <c r="V69" s="26">
        <f>((P69*8*1024)/$T69)/1000</f>
        <v/>
      </c>
      <c r="W69" s="26">
        <f>((Q69*8*1024)/$T69)/1000</f>
        <v/>
      </c>
      <c r="X69" s="26">
        <f>((R69*8*1024)/$T69)/1000</f>
        <v/>
      </c>
      <c r="AA69" s="50" t="n"/>
      <c r="AB69" s="47" t="n"/>
    </row>
    <row r="70">
      <c r="A70" s="7" t="inlineStr">
        <is>
          <t xml:space="preserve">Residual </t>
        </is>
      </c>
      <c r="B70" s="7" t="inlineStr">
        <is>
          <t>Residual</t>
        </is>
      </c>
      <c r="C70" s="11" t="n">
        <v>192</v>
      </c>
      <c r="D70" s="11" t="n">
        <v>64</v>
      </c>
      <c r="E70" s="11" t="n">
        <v>0</v>
      </c>
      <c r="F70" s="2" t="n">
        <v>192</v>
      </c>
      <c r="G70" s="2" t="n">
        <v>64</v>
      </c>
      <c r="H70" s="2" t="n">
        <v>0</v>
      </c>
      <c r="I70" s="3" t="n">
        <v>0</v>
      </c>
      <c r="J70" s="3" t="n">
        <v>0</v>
      </c>
      <c r="K70" s="3" t="n">
        <v>0</v>
      </c>
      <c r="L70" s="13" t="n">
        <v>192</v>
      </c>
      <c r="M70" s="13" t="n">
        <v>64</v>
      </c>
      <c r="N70" s="13" t="n">
        <v>0</v>
      </c>
      <c r="O70" s="3">
        <f>C70*D70/1024</f>
        <v/>
      </c>
      <c r="P70" s="3">
        <f>F70*G70/1024</f>
        <v/>
      </c>
      <c r="Q70" s="3" t="n">
        <v>0</v>
      </c>
      <c r="R70" s="3">
        <f>L70*M70/1024</f>
        <v/>
      </c>
      <c r="S70" s="3">
        <f>C70*D70/128</f>
        <v/>
      </c>
      <c r="T70" s="3">
        <f>(S70/$Y$2)/1000</f>
        <v/>
      </c>
      <c r="U70" s="26">
        <f>((O70*8*1024)/$T70)/1000</f>
        <v/>
      </c>
      <c r="V70" s="26">
        <f>((P70*8*1024)/$T70)/1000</f>
        <v/>
      </c>
      <c r="W70" s="26">
        <f>((Q70*8*1024)/$T70)/1000</f>
        <v/>
      </c>
      <c r="X70" s="26">
        <f>((R70*8*1024)/$T70)/1000</f>
        <v/>
      </c>
      <c r="AA70" s="50" t="n"/>
      <c r="AB70" s="47" t="n"/>
    </row>
    <row r="71">
      <c r="A71" s="7" t="inlineStr">
        <is>
          <t>Layer Norm</t>
        </is>
      </c>
      <c r="B71" s="7" t="inlineStr">
        <is>
          <t>Layer Norm</t>
        </is>
      </c>
      <c r="C71" s="11" t="n">
        <v>192</v>
      </c>
      <c r="D71" s="11" t="n">
        <v>64</v>
      </c>
      <c r="E71" s="11" t="n">
        <v>0</v>
      </c>
      <c r="F71" s="2" t="n">
        <v>192</v>
      </c>
      <c r="G71" s="2" t="n">
        <v>2</v>
      </c>
      <c r="H71" s="2" t="n">
        <v>0</v>
      </c>
      <c r="I71" s="3" t="n">
        <v>0</v>
      </c>
      <c r="J71" s="3" t="n">
        <v>0</v>
      </c>
      <c r="K71" s="3" t="n">
        <v>0</v>
      </c>
      <c r="L71" s="13" t="n">
        <v>192</v>
      </c>
      <c r="M71" s="13" t="n">
        <v>64</v>
      </c>
      <c r="N71" s="13" t="n">
        <v>0</v>
      </c>
      <c r="O71" s="3" t="n">
        <v>144</v>
      </c>
      <c r="P71" s="3" t="n">
        <v>0.28125</v>
      </c>
      <c r="Q71" s="3" t="n">
        <v>0</v>
      </c>
      <c r="R71" s="3" t="n">
        <v>144</v>
      </c>
      <c r="S71" s="3" t="n">
        <v>8064</v>
      </c>
      <c r="T71" s="3" t="n">
        <v>8.064</v>
      </c>
      <c r="U71" s="25" t="n">
        <v>146.286</v>
      </c>
      <c r="V71" s="25" t="n">
        <v>0.286</v>
      </c>
      <c r="W71" s="25" t="n">
        <v>0</v>
      </c>
      <c r="X71" s="25" t="n">
        <v>146.286</v>
      </c>
      <c r="AA71" s="50" t="n"/>
      <c r="AB71" s="47" t="n"/>
    </row>
    <row r="72">
      <c r="A72" s="7" t="inlineStr">
        <is>
          <t>Mat mul + SiLU</t>
        </is>
      </c>
      <c r="B72" s="7" t="inlineStr">
        <is>
          <t>Feed-Forward Network</t>
        </is>
      </c>
      <c r="C72" s="11" t="n">
        <v>192</v>
      </c>
      <c r="D72" s="11" t="n">
        <v>64</v>
      </c>
      <c r="E72" s="11" t="n">
        <v>0</v>
      </c>
      <c r="F72" s="2" t="n">
        <v>192</v>
      </c>
      <c r="G72" s="2" t="n">
        <v>384</v>
      </c>
      <c r="H72" s="2" t="n">
        <v>0</v>
      </c>
      <c r="I72" s="3" t="n">
        <v>384</v>
      </c>
      <c r="J72" s="3" t="n">
        <v>0</v>
      </c>
      <c r="K72" s="3" t="n">
        <v>0</v>
      </c>
      <c r="L72" s="13" t="n">
        <v>384</v>
      </c>
      <c r="M72" s="13" t="n">
        <v>64</v>
      </c>
      <c r="N72" s="13" t="n">
        <v>0</v>
      </c>
      <c r="O72" s="3">
        <f>C72*D72/1024</f>
        <v/>
      </c>
      <c r="P72" s="3">
        <f>F72*G72/1024</f>
        <v/>
      </c>
      <c r="Q72" s="3" t="n">
        <v>0</v>
      </c>
      <c r="R72" s="3">
        <f>L72*M72/1024</f>
        <v/>
      </c>
      <c r="S72" s="3">
        <f>(C72*D72*G72/128)*2</f>
        <v/>
      </c>
      <c r="T72" s="3">
        <f>(S72/$Y$2)/1000</f>
        <v/>
      </c>
      <c r="U72" s="26">
        <f>((O72*8*1024)/$T72)/1000</f>
        <v/>
      </c>
      <c r="V72" s="26">
        <f>((P72*8*1024)/$T72)/1000</f>
        <v/>
      </c>
      <c r="W72" s="26">
        <f>((Q72*8*1024)/$T72)/1000</f>
        <v/>
      </c>
      <c r="X72" s="26">
        <f>((R72*8*1024)/$T72)/1000</f>
        <v/>
      </c>
      <c r="AA72" s="50" t="n"/>
      <c r="AB72" s="47" t="n"/>
    </row>
    <row r="73">
      <c r="A73" s="7" t="inlineStr">
        <is>
          <t xml:space="preserve">Mat mul </t>
        </is>
      </c>
      <c r="B73" s="7" t="inlineStr">
        <is>
          <t>Feed-Forward Network</t>
        </is>
      </c>
      <c r="C73" s="11" t="n">
        <v>384</v>
      </c>
      <c r="D73" s="11" t="n">
        <v>64</v>
      </c>
      <c r="E73" s="11" t="n">
        <v>0</v>
      </c>
      <c r="F73" s="2" t="n">
        <v>192</v>
      </c>
      <c r="G73" s="2" t="n">
        <v>384</v>
      </c>
      <c r="H73" s="2" t="n">
        <v>0</v>
      </c>
      <c r="I73" s="3" t="n">
        <v>192</v>
      </c>
      <c r="J73" s="3" t="n">
        <v>0</v>
      </c>
      <c r="K73" s="3" t="n">
        <v>0</v>
      </c>
      <c r="L73" s="13" t="n">
        <v>192</v>
      </c>
      <c r="M73" s="13" t="n">
        <v>64</v>
      </c>
      <c r="N73" s="13" t="n">
        <v>0</v>
      </c>
      <c r="O73" s="3">
        <f>C73*D73/1024</f>
        <v/>
      </c>
      <c r="P73" s="3">
        <f>F73*G73/1024</f>
        <v/>
      </c>
      <c r="Q73" s="3" t="n">
        <v>0</v>
      </c>
      <c r="R73" s="3">
        <f>L73*M73/1024</f>
        <v/>
      </c>
      <c r="S73" s="3">
        <f>(C73*D73*G73/128)*2</f>
        <v/>
      </c>
      <c r="T73" s="3">
        <f>(S73/$Y$2)/1000</f>
        <v/>
      </c>
      <c r="U73" s="26">
        <f>((O73*8*1024)/$T73)/1000</f>
        <v/>
      </c>
      <c r="V73" s="26">
        <f>((P73*8*1024)/$T73)/1000</f>
        <v/>
      </c>
      <c r="W73" s="26">
        <f>((Q73*8*1024)/$T73)/1000</f>
        <v/>
      </c>
      <c r="X73" s="26">
        <f>((R73*8*1024)/$T73)/1000</f>
        <v/>
      </c>
      <c r="AA73" s="50" t="n"/>
      <c r="AB73" s="47" t="n"/>
    </row>
    <row r="74">
      <c r="A74" s="7" t="inlineStr">
        <is>
          <t xml:space="preserve">Residual </t>
        </is>
      </c>
      <c r="B74" s="7" t="inlineStr">
        <is>
          <t>Residual</t>
        </is>
      </c>
      <c r="C74" s="11" t="n">
        <v>192</v>
      </c>
      <c r="D74" s="11" t="n">
        <v>64</v>
      </c>
      <c r="E74" s="11" t="n">
        <v>0</v>
      </c>
      <c r="F74" s="2" t="n">
        <v>192</v>
      </c>
      <c r="G74" s="2" t="n">
        <v>64</v>
      </c>
      <c r="H74" s="2" t="n">
        <v>0</v>
      </c>
      <c r="I74" s="3" t="n">
        <v>0</v>
      </c>
      <c r="J74" s="3" t="n">
        <v>0</v>
      </c>
      <c r="K74" s="3" t="n">
        <v>0</v>
      </c>
      <c r="L74" s="13" t="n">
        <v>192</v>
      </c>
      <c r="M74" s="13" t="n">
        <v>64</v>
      </c>
      <c r="N74" s="13" t="n">
        <v>0</v>
      </c>
      <c r="O74" s="3">
        <f>C74*D74/1024</f>
        <v/>
      </c>
      <c r="P74" s="3">
        <f>F74*G74/1024</f>
        <v/>
      </c>
      <c r="Q74" s="3" t="n">
        <v>0</v>
      </c>
      <c r="R74" s="3">
        <f>L74*M74/1024</f>
        <v/>
      </c>
      <c r="S74" s="3">
        <f>C74*D74/128</f>
        <v/>
      </c>
      <c r="T74" s="3">
        <f>(S74/$Y$2)/1000</f>
        <v/>
      </c>
      <c r="U74" s="26">
        <f>((O74*8*1024)/$T74)/1000</f>
        <v/>
      </c>
      <c r="V74" s="26">
        <f>((P74*8*1024)/$T74)/1000</f>
        <v/>
      </c>
      <c r="W74" s="26">
        <f>((Q74*8*1024)/$T74)/1000</f>
        <v/>
      </c>
      <c r="X74" s="26">
        <f>((R74*8*1024)/$T74)/1000</f>
        <v/>
      </c>
      <c r="AA74" s="50" t="n"/>
      <c r="AB74" s="47" t="n"/>
    </row>
    <row r="75">
      <c r="A75" s="7" t="inlineStr">
        <is>
          <t>Layer Norm</t>
        </is>
      </c>
      <c r="B75" s="7" t="inlineStr">
        <is>
          <t>Layer Norm</t>
        </is>
      </c>
      <c r="C75" s="11" t="n">
        <v>192</v>
      </c>
      <c r="D75" s="11" t="n">
        <v>64</v>
      </c>
      <c r="E75" s="11" t="n">
        <v>0</v>
      </c>
      <c r="F75" s="2" t="n">
        <v>192</v>
      </c>
      <c r="G75" s="2" t="n">
        <v>2</v>
      </c>
      <c r="H75" s="2" t="n">
        <v>0</v>
      </c>
      <c r="I75" s="3" t="n">
        <v>0</v>
      </c>
      <c r="J75" s="3" t="n">
        <v>0</v>
      </c>
      <c r="K75" s="3" t="n">
        <v>0</v>
      </c>
      <c r="L75" s="13" t="n">
        <v>192</v>
      </c>
      <c r="M75" s="13" t="n">
        <v>64</v>
      </c>
      <c r="N75" s="13" t="n">
        <v>0</v>
      </c>
      <c r="O75" s="3" t="n">
        <v>144</v>
      </c>
      <c r="P75" s="3" t="n">
        <v>0.28125</v>
      </c>
      <c r="Q75" s="3" t="n">
        <v>0</v>
      </c>
      <c r="R75" s="3" t="n">
        <v>144</v>
      </c>
      <c r="S75" s="3" t="n">
        <v>8064</v>
      </c>
      <c r="T75" s="3" t="n">
        <v>8.064</v>
      </c>
      <c r="U75" s="25" t="n">
        <v>146.286</v>
      </c>
      <c r="V75" s="25" t="n">
        <v>0.286</v>
      </c>
      <c r="W75" s="25" t="n">
        <v>0</v>
      </c>
      <c r="X75" s="25" t="n">
        <v>146.286</v>
      </c>
      <c r="AA75" s="51" t="n"/>
      <c r="AB75" s="48" t="n"/>
    </row>
    <row r="76">
      <c r="A76" s="5" t="inlineStr">
        <is>
          <t>Reshape</t>
        </is>
      </c>
      <c r="B76" s="6" t="inlineStr">
        <is>
          <t xml:space="preserve">Patch folding </t>
        </is>
      </c>
      <c r="C76" s="11" t="n">
        <v>192</v>
      </c>
      <c r="D76" s="11" t="n">
        <v>64</v>
      </c>
      <c r="E76" s="11" t="n">
        <v>4</v>
      </c>
      <c r="F76" s="2" t="n">
        <v>0</v>
      </c>
      <c r="G76" s="2" t="n">
        <v>0</v>
      </c>
      <c r="H76" s="2" t="n">
        <v>0</v>
      </c>
      <c r="I76" s="3" t="n">
        <v>0</v>
      </c>
      <c r="J76" s="3" t="n">
        <v>0</v>
      </c>
      <c r="K76" s="3" t="n">
        <v>0</v>
      </c>
      <c r="L76" s="13" t="n">
        <v>16</v>
      </c>
      <c r="M76" s="13" t="n">
        <v>16</v>
      </c>
      <c r="N76" s="13" t="n">
        <v>192</v>
      </c>
      <c r="O76" s="3">
        <f>C76*D76*E76/1024</f>
        <v/>
      </c>
      <c r="P76" s="3">
        <f>F76*F76*G76*H76/1024</f>
        <v/>
      </c>
      <c r="Q76" s="3">
        <f>I76/1024</f>
        <v/>
      </c>
      <c r="R76" s="3">
        <f>L76*M76*N76/1024</f>
        <v/>
      </c>
      <c r="S76" s="3">
        <f>(F76*F76)*L76*M76*N76/128</f>
        <v/>
      </c>
      <c r="T76" s="3">
        <f>(S76/$Y$2)/1000</f>
        <v/>
      </c>
      <c r="U76" s="28">
        <f>((O76*8*1024)/$T76)/1000</f>
        <v/>
      </c>
      <c r="V76" s="28">
        <f>((P76*8*1024)/$T76)/1000</f>
        <v/>
      </c>
      <c r="W76" s="28">
        <f>((Q76*8*1024)/$T76)/1000</f>
        <v/>
      </c>
      <c r="X76" s="28">
        <f>((R76*8*1024)/$T76)/1000</f>
        <v/>
      </c>
      <c r="Y76" s="17" t="inlineStr">
        <is>
          <t>total 4 blocks[us]</t>
        </is>
      </c>
      <c r="Z76" s="18">
        <f>4*(T57+T58+T59+T60+T61+T62+T63+Z68+T68+T69+T70+T71+T72+T73+T74+T75)</f>
        <v/>
      </c>
    </row>
    <row r="77">
      <c r="A77" s="7" t="inlineStr">
        <is>
          <t>Conv + SiLU + BN</t>
        </is>
      </c>
      <c r="B77" s="7" t="inlineStr">
        <is>
          <t xml:space="preserve">Conv </t>
        </is>
      </c>
      <c r="C77" s="11" t="n">
        <v>16</v>
      </c>
      <c r="D77" s="11" t="n">
        <v>16</v>
      </c>
      <c r="E77" s="11" t="n">
        <v>192</v>
      </c>
      <c r="F77" s="2" t="n">
        <v>1</v>
      </c>
      <c r="G77" s="2" t="n">
        <v>192</v>
      </c>
      <c r="H77" s="2" t="n">
        <v>128</v>
      </c>
      <c r="I77" s="3" t="n">
        <v>128</v>
      </c>
      <c r="J77" s="3" t="n">
        <v>2</v>
      </c>
      <c r="K77" s="3" t="n">
        <v>0</v>
      </c>
      <c r="L77" s="13" t="n">
        <v>16</v>
      </c>
      <c r="M77" s="13" t="n">
        <v>16</v>
      </c>
      <c r="N77" s="13" t="n">
        <v>128</v>
      </c>
      <c r="O77" s="3">
        <f>C77*D77*E77/1024</f>
        <v/>
      </c>
      <c r="P77" s="3">
        <f>F77*F77*G77*H77/1024</f>
        <v/>
      </c>
      <c r="Q77" s="3">
        <f>I77*J77/1024</f>
        <v/>
      </c>
      <c r="R77" s="3">
        <f>L77*M77*N77/1024</f>
        <v/>
      </c>
      <c r="S77" s="3">
        <f>(L77*M77*N77)*(F77*F77*G77)/128</f>
        <v/>
      </c>
      <c r="T77" s="3">
        <f>(S77/$Y$2)/1000</f>
        <v/>
      </c>
      <c r="U77" s="26">
        <f>((O77*8*1024)/$T77)/1000</f>
        <v/>
      </c>
      <c r="V77" s="26">
        <f>((P77*8*1024)/$T77)/1000</f>
        <v/>
      </c>
      <c r="W77" s="26">
        <f>((Q77*8*1024)/$T77)/1000</f>
        <v/>
      </c>
      <c r="X77" s="26">
        <f>((R77*8*1024)/$T77)/1000</f>
        <v/>
      </c>
      <c r="Y77" s="37" t="inlineStr">
        <is>
          <t>Fusion block</t>
        </is>
      </c>
    </row>
    <row r="78">
      <c r="A78" s="5" t="inlineStr">
        <is>
          <t>Reshape</t>
        </is>
      </c>
      <c r="B78" s="7" t="inlineStr">
        <is>
          <t>Fusion</t>
        </is>
      </c>
      <c r="C78" s="11" t="n">
        <v>16</v>
      </c>
      <c r="D78" s="11" t="n">
        <v>16</v>
      </c>
      <c r="E78" s="11" t="n">
        <v>128</v>
      </c>
      <c r="F78" s="2" t="n">
        <v>16</v>
      </c>
      <c r="G78" s="2" t="n">
        <v>16</v>
      </c>
      <c r="H78" s="2" t="n">
        <v>128</v>
      </c>
      <c r="I78" s="3" t="n">
        <v>0</v>
      </c>
      <c r="J78" s="3" t="n">
        <v>0</v>
      </c>
      <c r="K78" s="3" t="n">
        <v>0</v>
      </c>
      <c r="L78" s="13" t="n">
        <v>16</v>
      </c>
      <c r="M78" s="13" t="n">
        <v>16</v>
      </c>
      <c r="N78" s="13" t="n">
        <v>256</v>
      </c>
      <c r="O78" s="3">
        <f>C78*D78*E78/1024</f>
        <v/>
      </c>
      <c r="P78" s="3">
        <f>F78*G78*H78/1024</f>
        <v/>
      </c>
      <c r="Q78" s="3" t="n">
        <v>0</v>
      </c>
      <c r="R78" s="3">
        <f>L78*M78*N78/1024</f>
        <v/>
      </c>
      <c r="S78" s="3" t="n">
        <v>0</v>
      </c>
      <c r="T78" s="3" t="n">
        <v>0</v>
      </c>
      <c r="U78" s="28">
        <f>((O78*8*1024)/$T78)/1000</f>
        <v/>
      </c>
      <c r="V78" s="28">
        <f>((P78*8*1024)/$T78)/1000</f>
        <v/>
      </c>
      <c r="W78" s="28">
        <f>((Q78*8*1024)/$T78)/1000</f>
        <v/>
      </c>
      <c r="X78" s="28">
        <f>((R78*8*1024)/$T78)/1000</f>
        <v/>
      </c>
      <c r="Y78" s="47" t="n"/>
    </row>
    <row r="79">
      <c r="A79" s="7" t="inlineStr">
        <is>
          <t>Conv + SiLU + BN</t>
        </is>
      </c>
      <c r="B79" s="7" t="inlineStr">
        <is>
          <t xml:space="preserve">Conv </t>
        </is>
      </c>
      <c r="C79" s="11" t="n">
        <v>16</v>
      </c>
      <c r="D79" s="11" t="n">
        <v>16</v>
      </c>
      <c r="E79" s="11" t="n">
        <v>256</v>
      </c>
      <c r="F79" s="2" t="n">
        <v>3</v>
      </c>
      <c r="G79" s="2" t="n">
        <v>256</v>
      </c>
      <c r="H79" s="2" t="n">
        <v>128</v>
      </c>
      <c r="I79" s="3" t="n">
        <v>128</v>
      </c>
      <c r="J79" s="3" t="n">
        <v>2</v>
      </c>
      <c r="K79" s="3" t="n">
        <v>0</v>
      </c>
      <c r="L79" s="13" t="n">
        <v>16</v>
      </c>
      <c r="M79" s="13" t="n">
        <v>16</v>
      </c>
      <c r="N79" s="13" t="n">
        <v>128</v>
      </c>
      <c r="O79" s="3">
        <f>C79*D79*E79/1024</f>
        <v/>
      </c>
      <c r="P79" s="3">
        <f>F79*F79*G79*H79/1024</f>
        <v/>
      </c>
      <c r="Q79" s="3">
        <f>I79*J79/1024</f>
        <v/>
      </c>
      <c r="R79" s="3">
        <f>L79*M79*N79/1024</f>
        <v/>
      </c>
      <c r="S79" s="3">
        <f>(L79*M79*N79)*(F79*F79*G79)/128</f>
        <v/>
      </c>
      <c r="T79" s="3">
        <f>(S79/$Y$2)/1000</f>
        <v/>
      </c>
      <c r="U79" s="26">
        <f>((O79*8*1024)/$T79)/1000</f>
        <v/>
      </c>
      <c r="V79" s="26">
        <f>((P79*8*1024)/$T79)/1000</f>
        <v/>
      </c>
      <c r="W79" s="26">
        <f>((Q79*8*1024)/$T79)/1000</f>
        <v/>
      </c>
      <c r="X79" s="26">
        <f>((R79*8*1024)/$T79)/1000</f>
        <v/>
      </c>
      <c r="Y79" s="48" t="n"/>
    </row>
    <row r="80">
      <c r="A80" s="7" t="inlineStr">
        <is>
          <t>Conv + SiLU + BN</t>
        </is>
      </c>
      <c r="B80" s="7" t="inlineStr">
        <is>
          <t xml:space="preserve">Conv </t>
        </is>
      </c>
      <c r="C80" s="11" t="n">
        <v>16</v>
      </c>
      <c r="D80" s="11" t="n">
        <v>16</v>
      </c>
      <c r="E80" s="11" t="n">
        <v>128</v>
      </c>
      <c r="F80" s="2" t="n">
        <v>1</v>
      </c>
      <c r="G80" s="2" t="n">
        <v>128</v>
      </c>
      <c r="H80" s="2" t="n">
        <v>512</v>
      </c>
      <c r="I80" s="3" t="n">
        <v>512</v>
      </c>
      <c r="J80" s="3" t="n">
        <v>2</v>
      </c>
      <c r="K80" s="3" t="n">
        <v>0</v>
      </c>
      <c r="L80" s="13" t="n">
        <v>16</v>
      </c>
      <c r="M80" s="13" t="n">
        <v>16</v>
      </c>
      <c r="N80" s="13" t="n">
        <v>512</v>
      </c>
      <c r="O80" s="3">
        <f>C80*D80*E80/1024</f>
        <v/>
      </c>
      <c r="P80" s="3">
        <f>F80*F80*G80*H80/1024</f>
        <v/>
      </c>
      <c r="Q80" s="3">
        <f>I80*J80/1024</f>
        <v/>
      </c>
      <c r="R80" s="3">
        <f>L80*M80*N80/1024</f>
        <v/>
      </c>
      <c r="S80" s="3">
        <f>(L80*M80*N80)*(F80*F80*G80)/128</f>
        <v/>
      </c>
      <c r="T80" s="3">
        <f>(S80/$Y$2)/1000</f>
        <v/>
      </c>
      <c r="U80" s="27">
        <f>((O80*8*1024)/$T80)/1000</f>
        <v/>
      </c>
      <c r="V80" s="26">
        <f>((P80*8*1024)/$T80)/1000</f>
        <v/>
      </c>
      <c r="W80" s="26">
        <f>((Q80*8*1024)/$T80)/1000</f>
        <v/>
      </c>
      <c r="X80" s="26">
        <f>((R80*8*1024)/$T80)/1000</f>
        <v/>
      </c>
      <c r="Y80" s="39" t="inlineStr">
        <is>
          <t>MV2 Block  Down Sampling Stride 2</t>
        </is>
      </c>
    </row>
    <row r="81">
      <c r="A81" s="7" t="inlineStr">
        <is>
          <t>Conv Depth Wise + SiLU + BN</t>
        </is>
      </c>
      <c r="B81" s="7" t="inlineStr">
        <is>
          <t xml:space="preserve">Conv Depth Wise </t>
        </is>
      </c>
      <c r="C81" s="11" t="n">
        <v>16</v>
      </c>
      <c r="D81" s="11" t="n">
        <v>16</v>
      </c>
      <c r="E81" s="11" t="n">
        <v>512</v>
      </c>
      <c r="F81" s="2" t="n">
        <v>3</v>
      </c>
      <c r="G81" s="2" t="n">
        <v>1</v>
      </c>
      <c r="H81" s="2" t="n">
        <v>512</v>
      </c>
      <c r="I81" s="3" t="n">
        <v>128</v>
      </c>
      <c r="J81" s="3" t="n">
        <v>2</v>
      </c>
      <c r="K81" s="3" t="n">
        <v>0</v>
      </c>
      <c r="L81" s="13" t="n">
        <v>16</v>
      </c>
      <c r="M81" s="13" t="n">
        <v>16</v>
      </c>
      <c r="N81" s="13" t="n">
        <v>512</v>
      </c>
      <c r="O81" s="3">
        <f>C81*D81*E81/1024</f>
        <v/>
      </c>
      <c r="P81" s="3">
        <f>F81*F81*G81*H81/1024</f>
        <v/>
      </c>
      <c r="Q81" s="3">
        <f>I81*J81/1024</f>
        <v/>
      </c>
      <c r="R81" s="3">
        <f>L81*M81*N81/1024</f>
        <v/>
      </c>
      <c r="S81" s="3">
        <f>(L81*M81*N81)*(F81*F81*G81)/128</f>
        <v/>
      </c>
      <c r="T81" s="3">
        <f>(S81/$Y$2)/1000</f>
        <v/>
      </c>
      <c r="U81" s="27">
        <f>((O81*8*1024)/$T81)/1000</f>
        <v/>
      </c>
      <c r="V81" s="26">
        <f>((P81*8*1024)/$T81)/1000</f>
        <v/>
      </c>
      <c r="W81" s="26">
        <f>((Q81*8*1024)/$T81)/1000</f>
        <v/>
      </c>
      <c r="X81" s="26">
        <f>((R81*8*1024)/$T81)/1000</f>
        <v/>
      </c>
      <c r="Y81" s="47" t="n"/>
    </row>
    <row r="82">
      <c r="A82" s="7" t="inlineStr">
        <is>
          <t xml:space="preserve">Stride </t>
        </is>
      </c>
      <c r="B82" s="7" t="inlineStr">
        <is>
          <t>Stride</t>
        </is>
      </c>
      <c r="C82" s="11" t="n">
        <v>16</v>
      </c>
      <c r="D82" s="11" t="n">
        <v>16</v>
      </c>
      <c r="E82" s="11" t="n">
        <v>512</v>
      </c>
      <c r="F82" s="2" t="n">
        <v>0</v>
      </c>
      <c r="G82" s="2" t="n">
        <v>0</v>
      </c>
      <c r="H82" s="2" t="n">
        <v>0</v>
      </c>
      <c r="I82" s="3" t="n">
        <v>0</v>
      </c>
      <c r="J82" s="3" t="n">
        <v>0</v>
      </c>
      <c r="K82" s="3" t="n">
        <v>0</v>
      </c>
      <c r="L82" s="13" t="n">
        <v>8</v>
      </c>
      <c r="M82" s="13" t="n">
        <v>8</v>
      </c>
      <c r="N82" s="13" t="n">
        <v>512</v>
      </c>
      <c r="O82" s="3">
        <f>C82*D82*E82/1024</f>
        <v/>
      </c>
      <c r="P82" s="3">
        <f>F82*F82*G82*H82/1024</f>
        <v/>
      </c>
      <c r="Q82" s="3">
        <f>I82*J82/1024</f>
        <v/>
      </c>
      <c r="R82" s="3">
        <f>L82*M82*N82/1024</f>
        <v/>
      </c>
      <c r="S82" s="3">
        <f>(C82*D82*E82)/128</f>
        <v/>
      </c>
      <c r="T82" s="3">
        <f>(S82/$Y$2)/1000</f>
        <v/>
      </c>
      <c r="U82" s="27">
        <f>((O82*8*1024)/$T82)/1000</f>
        <v/>
      </c>
      <c r="V82" s="26">
        <f>((P82*8*1024)/$T82)/1000</f>
        <v/>
      </c>
      <c r="W82" s="26">
        <f>((Q82*8*1024)/$T82)/1000</f>
        <v/>
      </c>
      <c r="X82" s="26">
        <f>((R82*8*1024)/$T82)/1000</f>
        <v/>
      </c>
      <c r="Y82" s="47" t="n"/>
    </row>
    <row r="83">
      <c r="A83" s="7" t="inlineStr">
        <is>
          <t>Conv + BN</t>
        </is>
      </c>
      <c r="B83" s="7" t="inlineStr">
        <is>
          <t xml:space="preserve">Conv </t>
        </is>
      </c>
      <c r="C83" s="11" t="n">
        <v>8</v>
      </c>
      <c r="D83" s="11" t="n">
        <v>8</v>
      </c>
      <c r="E83" s="11" t="n">
        <v>512</v>
      </c>
      <c r="F83" s="2" t="n">
        <v>1</v>
      </c>
      <c r="G83" s="2" t="n">
        <v>512</v>
      </c>
      <c r="H83" s="2" t="n">
        <v>160</v>
      </c>
      <c r="I83" s="3" t="n">
        <v>160</v>
      </c>
      <c r="J83" s="3" t="n">
        <v>2</v>
      </c>
      <c r="K83" s="3" t="n">
        <v>0</v>
      </c>
      <c r="L83" s="13" t="n">
        <v>8</v>
      </c>
      <c r="M83" s="13" t="n">
        <v>8</v>
      </c>
      <c r="N83" s="13" t="n">
        <v>160</v>
      </c>
      <c r="O83" s="3">
        <f>C83*D83*E83/1024</f>
        <v/>
      </c>
      <c r="P83" s="3">
        <f>F83*F83*G83*H83/1024</f>
        <v/>
      </c>
      <c r="Q83" s="3">
        <f>I83*J83/1024</f>
        <v/>
      </c>
      <c r="R83" s="3">
        <f>L83*M83*N83/1024</f>
        <v/>
      </c>
      <c r="S83" s="3">
        <f>(L83*M83*N83)*(F83*F83*G83)/128</f>
        <v/>
      </c>
      <c r="T83" s="3">
        <f>(S83/$Y$2)/1000</f>
        <v/>
      </c>
      <c r="U83" s="26">
        <f>((O83*8*1024)/$T83)/1000</f>
        <v/>
      </c>
      <c r="V83" s="26">
        <f>((P83*8*1024)/$T83)/1000</f>
        <v/>
      </c>
      <c r="W83" s="26">
        <f>((Q83*8*1024)/$T83)/1000</f>
        <v/>
      </c>
      <c r="X83" s="26">
        <f>((R83*8*1024)/$T83)/1000</f>
        <v/>
      </c>
      <c r="Y83" s="47" t="n"/>
    </row>
    <row r="84" ht="13.8" customHeight="1">
      <c r="A84" s="7" t="inlineStr">
        <is>
          <t>Conv + BN + SiLU</t>
        </is>
      </c>
      <c r="B84" s="7" t="inlineStr">
        <is>
          <t xml:space="preserve">Conv </t>
        </is>
      </c>
      <c r="C84" s="11" t="n">
        <v>8</v>
      </c>
      <c r="D84" s="11" t="n">
        <v>8</v>
      </c>
      <c r="E84" s="11" t="n">
        <v>160</v>
      </c>
      <c r="F84" s="2" t="n">
        <v>3</v>
      </c>
      <c r="G84" s="2" t="n">
        <v>160</v>
      </c>
      <c r="H84" s="2" t="n">
        <v>160</v>
      </c>
      <c r="I84" s="3" t="n">
        <v>160</v>
      </c>
      <c r="J84" s="3" t="n">
        <v>2</v>
      </c>
      <c r="K84" s="3" t="n">
        <v>0</v>
      </c>
      <c r="L84" s="13" t="n">
        <v>8</v>
      </c>
      <c r="M84" s="13" t="n">
        <v>8</v>
      </c>
      <c r="N84" s="13" t="n">
        <v>160</v>
      </c>
      <c r="O84" s="3">
        <f>C84*D84*E84/1024</f>
        <v/>
      </c>
      <c r="P84" s="3">
        <f>F84*F84*G84*H84/1024</f>
        <v/>
      </c>
      <c r="Q84" s="3">
        <f>I84*J84/1024</f>
        <v/>
      </c>
      <c r="R84" s="3">
        <f>L84*M84*N84/1024</f>
        <v/>
      </c>
      <c r="S84" s="3">
        <f>(L84*M84*N84)*(F84*F84*G84)/128</f>
        <v/>
      </c>
      <c r="T84" s="3">
        <f>(S84/$Y$2)/1000</f>
        <v/>
      </c>
      <c r="U84" s="26">
        <f>((O84*8*1024)/$T84)/1000</f>
        <v/>
      </c>
      <c r="V84" s="26">
        <f>((P84*8*1024)/$T84)/1000</f>
        <v/>
      </c>
      <c r="W84" s="26">
        <f>((Q84*8*1024)/$T84)/1000</f>
        <v/>
      </c>
      <c r="X84" s="26">
        <f>((R84*8*1024)/$T84)/1000</f>
        <v/>
      </c>
      <c r="Y84" s="34" t="inlineStr">
        <is>
          <t>Local rep</t>
        </is>
      </c>
    </row>
    <row r="85">
      <c r="A85" s="7" t="inlineStr">
        <is>
          <t>Conv + BN + SiLU</t>
        </is>
      </c>
      <c r="B85" s="7" t="inlineStr">
        <is>
          <t xml:space="preserve">Conv </t>
        </is>
      </c>
      <c r="C85" s="11" t="n">
        <v>8</v>
      </c>
      <c r="D85" s="11" t="n">
        <v>8</v>
      </c>
      <c r="E85" s="11" t="n">
        <v>160</v>
      </c>
      <c r="F85" s="2" t="n">
        <v>1</v>
      </c>
      <c r="G85" s="2" t="n">
        <v>160</v>
      </c>
      <c r="H85" s="2" t="n">
        <v>240</v>
      </c>
      <c r="I85" s="3" t="n">
        <v>0</v>
      </c>
      <c r="J85" s="3" t="n">
        <v>0</v>
      </c>
      <c r="K85" s="3" t="n">
        <v>0</v>
      </c>
      <c r="L85" s="13" t="n">
        <v>8</v>
      </c>
      <c r="M85" s="13" t="n">
        <v>8</v>
      </c>
      <c r="N85" s="13" t="n">
        <v>240</v>
      </c>
      <c r="O85" s="3">
        <f>C85*D85*E85/1024</f>
        <v/>
      </c>
      <c r="P85" s="3">
        <f>F85*F85*G85*H85/1024</f>
        <v/>
      </c>
      <c r="Q85" s="3">
        <f>I85/1024</f>
        <v/>
      </c>
      <c r="R85" s="3">
        <f>L85*M85*N85/1024</f>
        <v/>
      </c>
      <c r="S85" s="3">
        <f>(L85*M85*N85)*(F85*F85*G85)/128</f>
        <v/>
      </c>
      <c r="T85" s="3">
        <f>(S85/$Y$2)/1000</f>
        <v/>
      </c>
      <c r="U85" s="26">
        <f>((O85*8*1024)/$T85)/1000</f>
        <v/>
      </c>
      <c r="V85" s="26">
        <f>((P85*8*1024)/$T85)/1000</f>
        <v/>
      </c>
      <c r="W85" s="26">
        <f>((Q85*8*1024)/$T85)/1000</f>
        <v/>
      </c>
      <c r="X85" s="26">
        <f>((R85*8*1024)/$T85)/1000</f>
        <v/>
      </c>
      <c r="Y85" s="48" t="n"/>
    </row>
    <row r="86">
      <c r="A86" s="5" t="inlineStr">
        <is>
          <t>Reshape</t>
        </is>
      </c>
      <c r="B86" s="6" t="inlineStr">
        <is>
          <t xml:space="preserve">Patch unfolding </t>
        </is>
      </c>
      <c r="C86" s="11" t="n">
        <v>8</v>
      </c>
      <c r="D86" s="11" t="n">
        <v>8</v>
      </c>
      <c r="E86" s="11" t="n">
        <v>240</v>
      </c>
      <c r="F86" s="2" t="n">
        <v>0</v>
      </c>
      <c r="G86" s="2" t="n">
        <v>0</v>
      </c>
      <c r="H86" s="2" t="n">
        <v>0</v>
      </c>
      <c r="I86" s="3" t="n">
        <v>0</v>
      </c>
      <c r="J86" s="3" t="n">
        <v>0</v>
      </c>
      <c r="K86" s="3" t="n">
        <v>0</v>
      </c>
      <c r="L86" s="13" t="n">
        <v>240</v>
      </c>
      <c r="M86" s="13" t="n">
        <v>16</v>
      </c>
      <c r="N86" s="13" t="n">
        <v>4</v>
      </c>
      <c r="O86" s="3">
        <f>C86*D86*E86/1024</f>
        <v/>
      </c>
      <c r="P86" s="3">
        <f>F86*F86*G86*H86/1024</f>
        <v/>
      </c>
      <c r="Q86" s="3">
        <f>I86/1024</f>
        <v/>
      </c>
      <c r="R86" s="3">
        <f>L86*M86*N86/1024</f>
        <v/>
      </c>
      <c r="S86" s="3">
        <f>(F86*F86)*L86*M86*N86/128</f>
        <v/>
      </c>
      <c r="T86" s="3">
        <f>(S86/$Y$2)/1000</f>
        <v/>
      </c>
      <c r="U86" s="28">
        <f>((O86*8*1024)/$T86)/1000</f>
        <v/>
      </c>
      <c r="V86" s="28">
        <f>((P86*8*1024)/$T86)/1000</f>
        <v/>
      </c>
      <c r="W86" s="28">
        <f>((Q86*8*1024)/$T86)/1000</f>
        <v/>
      </c>
      <c r="X86" s="28">
        <f>((R86*8*1024)/$T86)/1000</f>
        <v/>
      </c>
    </row>
    <row r="87">
      <c r="A87" s="7" t="inlineStr">
        <is>
          <t>Layer Norm</t>
        </is>
      </c>
      <c r="B87" s="7" t="inlineStr">
        <is>
          <t>Layer Norm</t>
        </is>
      </c>
      <c r="C87" s="11" t="n">
        <v>240</v>
      </c>
      <c r="D87" s="11" t="n">
        <v>16</v>
      </c>
      <c r="E87" s="11" t="n">
        <v>4</v>
      </c>
      <c r="F87" s="2" t="n">
        <v>240</v>
      </c>
      <c r="G87" s="2" t="n">
        <v>2</v>
      </c>
      <c r="H87" s="2" t="n">
        <v>0</v>
      </c>
      <c r="I87" s="3" t="n">
        <v>0</v>
      </c>
      <c r="J87" s="3" t="n">
        <v>0</v>
      </c>
      <c r="K87" s="3" t="n">
        <v>0</v>
      </c>
      <c r="L87" s="13" t="n">
        <v>240</v>
      </c>
      <c r="M87" s="13" t="n">
        <v>16</v>
      </c>
      <c r="N87" s="13" t="n">
        <v>4</v>
      </c>
      <c r="O87" s="3">
        <f>C87*D87*E87/1024</f>
        <v/>
      </c>
      <c r="P87" s="3">
        <f>F87*G87/1024</f>
        <v/>
      </c>
      <c r="Q87" s="3" t="n">
        <v>0</v>
      </c>
      <c r="R87" s="3">
        <f>L87*M87*N87/1024</f>
        <v/>
      </c>
      <c r="S87" s="3">
        <f>C87*D87*E87*7/128</f>
        <v/>
      </c>
      <c r="T87" s="3">
        <f>(S87/$Y$2)/1000</f>
        <v/>
      </c>
      <c r="U87" s="26">
        <f>((O87*8*1024)/$T87)/1000</f>
        <v/>
      </c>
      <c r="V87" s="26">
        <f>((P87*8*1024)/$T87)/1000</f>
        <v/>
      </c>
      <c r="W87" s="26">
        <f>((Q87*8*1024)/$T87)/1000</f>
        <v/>
      </c>
      <c r="X87" s="26">
        <f>((R87*8*1024)/$T87)/1000</f>
        <v/>
      </c>
      <c r="AA87" s="32" t="inlineStr">
        <is>
          <t>6X</t>
        </is>
      </c>
      <c r="AB87" s="49" t="n"/>
    </row>
    <row r="88">
      <c r="A88" s="7" t="inlineStr">
        <is>
          <t>Projection</t>
        </is>
      </c>
      <c r="B88" s="7" t="inlineStr">
        <is>
          <t>Q</t>
        </is>
      </c>
      <c r="C88" s="11" t="n">
        <v>240</v>
      </c>
      <c r="D88" s="11" t="n">
        <v>16</v>
      </c>
      <c r="E88" s="11" t="n">
        <v>0</v>
      </c>
      <c r="F88" s="2" t="n">
        <v>240</v>
      </c>
      <c r="G88" s="2" t="n">
        <v>240</v>
      </c>
      <c r="H88" s="2" t="n">
        <v>0</v>
      </c>
      <c r="I88" s="3" t="n">
        <v>0</v>
      </c>
      <c r="J88" s="3" t="n">
        <v>0</v>
      </c>
      <c r="K88" s="3" t="n">
        <v>0</v>
      </c>
      <c r="L88" s="13" t="n">
        <v>240</v>
      </c>
      <c r="M88" s="13" t="n">
        <v>16</v>
      </c>
      <c r="N88" s="13" t="n">
        <v>0</v>
      </c>
      <c r="O88" s="3">
        <f>C88*D88/1024</f>
        <v/>
      </c>
      <c r="P88" s="3">
        <f>F88*G88/1024</f>
        <v/>
      </c>
      <c r="Q88" s="3" t="n">
        <v>0</v>
      </c>
      <c r="R88" s="3">
        <f>L88*M88/1024</f>
        <v/>
      </c>
      <c r="S88" s="3">
        <f>C88*D88*F88/128</f>
        <v/>
      </c>
      <c r="T88" s="3">
        <f>(S88/$Y$2)/1000</f>
        <v/>
      </c>
      <c r="U88" s="26">
        <f>((O88*8*1024)/$T88)/1000</f>
        <v/>
      </c>
      <c r="V88" s="26">
        <f>((P88*8*1024)/$T88)/1000</f>
        <v/>
      </c>
      <c r="W88" s="26">
        <f>((Q88*8*1024)/$T88)/1000</f>
        <v/>
      </c>
      <c r="X88" s="26">
        <f>((R88*8*1024)/$T88)/1000</f>
        <v/>
      </c>
      <c r="AA88" s="50" t="n"/>
      <c r="AB88" s="47" t="n"/>
    </row>
    <row r="89">
      <c r="A89" s="7" t="inlineStr">
        <is>
          <t>Projection</t>
        </is>
      </c>
      <c r="B89" s="7" t="inlineStr">
        <is>
          <t>K</t>
        </is>
      </c>
      <c r="C89" s="11" t="n">
        <v>240</v>
      </c>
      <c r="D89" s="11" t="n">
        <v>16</v>
      </c>
      <c r="E89" s="11" t="n">
        <v>0</v>
      </c>
      <c r="F89" s="2" t="n">
        <v>240</v>
      </c>
      <c r="G89" s="2" t="n">
        <v>240</v>
      </c>
      <c r="H89" s="2" t="n">
        <v>0</v>
      </c>
      <c r="I89" s="3" t="n">
        <v>0</v>
      </c>
      <c r="J89" s="3" t="n">
        <v>0</v>
      </c>
      <c r="K89" s="3" t="n">
        <v>0</v>
      </c>
      <c r="L89" s="13" t="n">
        <v>240</v>
      </c>
      <c r="M89" s="13" t="n">
        <v>16</v>
      </c>
      <c r="N89" s="13" t="n">
        <v>0</v>
      </c>
      <c r="O89" s="3">
        <f>C89*D89/1024</f>
        <v/>
      </c>
      <c r="P89" s="3">
        <f>F89*G89/1024</f>
        <v/>
      </c>
      <c r="Q89" s="3" t="n">
        <v>0</v>
      </c>
      <c r="R89" s="3">
        <f>L89*M89/1024</f>
        <v/>
      </c>
      <c r="S89" s="3">
        <f>C89*D89*F89/128</f>
        <v/>
      </c>
      <c r="T89" s="3">
        <f>(S89/$Y$2)/1000</f>
        <v/>
      </c>
      <c r="U89" s="26">
        <f>((O89*8*1024)/$T89)/1000</f>
        <v/>
      </c>
      <c r="V89" s="26">
        <f>((P89*8*1024)/$T89)/1000</f>
        <v/>
      </c>
      <c r="W89" s="26">
        <f>((Q89*8*1024)/$T89)/1000</f>
        <v/>
      </c>
      <c r="X89" s="26">
        <f>((R89*8*1024)/$T89)/1000</f>
        <v/>
      </c>
      <c r="AA89" s="50" t="n"/>
      <c r="AB89" s="47" t="n"/>
    </row>
    <row r="90">
      <c r="A90" s="7" t="inlineStr">
        <is>
          <t>Projection</t>
        </is>
      </c>
      <c r="B90" s="7" t="inlineStr">
        <is>
          <t>V</t>
        </is>
      </c>
      <c r="C90" s="11" t="n">
        <v>240</v>
      </c>
      <c r="D90" s="11" t="n">
        <v>16</v>
      </c>
      <c r="E90" s="11" t="n">
        <v>0</v>
      </c>
      <c r="F90" s="2" t="n">
        <v>240</v>
      </c>
      <c r="G90" s="2" t="n">
        <v>240</v>
      </c>
      <c r="H90" s="2" t="n">
        <v>0</v>
      </c>
      <c r="I90" s="3" t="n">
        <v>0</v>
      </c>
      <c r="J90" s="3" t="n">
        <v>0</v>
      </c>
      <c r="K90" s="3" t="n">
        <v>0</v>
      </c>
      <c r="L90" s="13" t="n">
        <v>240</v>
      </c>
      <c r="M90" s="13" t="n">
        <v>16</v>
      </c>
      <c r="N90" s="13" t="n">
        <v>0</v>
      </c>
      <c r="O90" s="3">
        <f>C90*D90/1024</f>
        <v/>
      </c>
      <c r="P90" s="3">
        <f>F90*G90/1024</f>
        <v/>
      </c>
      <c r="Q90" s="3" t="n">
        <v>0</v>
      </c>
      <c r="R90" s="3">
        <f>L90*M90/1024</f>
        <v/>
      </c>
      <c r="S90" s="3">
        <f>C90*D90*F90/128</f>
        <v/>
      </c>
      <c r="T90" s="3">
        <f>(S90/$Y$2)/1000</f>
        <v/>
      </c>
      <c r="U90" s="26">
        <f>((O90*8*1024)/$T90)/1000</f>
        <v/>
      </c>
      <c r="V90" s="26">
        <f>((P90*8*1024)/$T90)/1000</f>
        <v/>
      </c>
      <c r="W90" s="26">
        <f>((Q90*8*1024)/$T90)/1000</f>
        <v/>
      </c>
      <c r="X90" s="26">
        <f>((R90*8*1024)/$T90)/1000</f>
        <v/>
      </c>
      <c r="AA90" s="50" t="n"/>
      <c r="AB90" s="47" t="n"/>
    </row>
    <row r="91">
      <c r="A91" s="5" t="inlineStr">
        <is>
          <t>Reshape</t>
        </is>
      </c>
      <c r="B91" s="7" t="inlineStr">
        <is>
          <t>Head reshape Q</t>
        </is>
      </c>
      <c r="C91" s="11" t="n">
        <v>240</v>
      </c>
      <c r="D91" s="11" t="n">
        <v>16</v>
      </c>
      <c r="E91" s="11" t="n">
        <v>0</v>
      </c>
      <c r="F91" s="2" t="n">
        <v>0</v>
      </c>
      <c r="G91" s="2" t="n">
        <v>0</v>
      </c>
      <c r="H91" s="2" t="n">
        <v>0</v>
      </c>
      <c r="I91" s="3" t="n">
        <v>0</v>
      </c>
      <c r="J91" s="3" t="n">
        <v>0</v>
      </c>
      <c r="K91" s="3" t="n">
        <v>0</v>
      </c>
      <c r="L91" s="13" t="n">
        <v>60</v>
      </c>
      <c r="M91" s="13" t="n">
        <v>16</v>
      </c>
      <c r="N91" s="13" t="n">
        <v>4</v>
      </c>
      <c r="O91" s="3">
        <f>C91*D91/1024</f>
        <v/>
      </c>
      <c r="P91" s="3">
        <f>F91*G91/1024</f>
        <v/>
      </c>
      <c r="Q91" s="3" t="n">
        <v>0</v>
      </c>
      <c r="R91" s="3">
        <f>L91*M91*N91/1024</f>
        <v/>
      </c>
      <c r="S91" s="3">
        <f>0</f>
        <v/>
      </c>
      <c r="T91" s="3">
        <f>0</f>
        <v/>
      </c>
      <c r="U91" s="26" t="n">
        <v>0</v>
      </c>
      <c r="V91" s="26" t="n">
        <v>0</v>
      </c>
      <c r="W91" s="26" t="n">
        <v>0</v>
      </c>
      <c r="X91" s="26" t="n">
        <v>0</v>
      </c>
      <c r="AA91" s="50" t="n"/>
      <c r="AB91" s="47" t="n"/>
    </row>
    <row r="92">
      <c r="A92" s="5" t="inlineStr">
        <is>
          <t>Reshape</t>
        </is>
      </c>
      <c r="B92" s="7" t="inlineStr">
        <is>
          <t>Head reshape K</t>
        </is>
      </c>
      <c r="C92" s="11" t="n">
        <v>240</v>
      </c>
      <c r="D92" s="11" t="n">
        <v>16</v>
      </c>
      <c r="E92" s="11" t="n">
        <v>0</v>
      </c>
      <c r="F92" s="2" t="n">
        <v>0</v>
      </c>
      <c r="G92" s="2" t="n">
        <v>0</v>
      </c>
      <c r="H92" s="2" t="n">
        <v>0</v>
      </c>
      <c r="I92" s="3" t="n">
        <v>0</v>
      </c>
      <c r="J92" s="3" t="n">
        <v>0</v>
      </c>
      <c r="K92" s="3" t="n">
        <v>0</v>
      </c>
      <c r="L92" s="13" t="n">
        <v>60</v>
      </c>
      <c r="M92" s="13" t="n">
        <v>16</v>
      </c>
      <c r="N92" s="13" t="n">
        <v>4</v>
      </c>
      <c r="O92" s="3">
        <f>C92*D92/1024</f>
        <v/>
      </c>
      <c r="P92" s="3">
        <f>F92*G92/1024</f>
        <v/>
      </c>
      <c r="Q92" s="3" t="n">
        <v>0</v>
      </c>
      <c r="R92" s="3">
        <f>L92*M92*N92/1024</f>
        <v/>
      </c>
      <c r="S92" s="3">
        <f>0</f>
        <v/>
      </c>
      <c r="T92" s="3">
        <f>0</f>
        <v/>
      </c>
      <c r="U92" s="26" t="n">
        <v>0</v>
      </c>
      <c r="V92" s="26" t="n">
        <v>0</v>
      </c>
      <c r="W92" s="26" t="n">
        <v>0</v>
      </c>
      <c r="X92" s="26" t="n">
        <v>0</v>
      </c>
      <c r="AA92" s="50" t="n"/>
      <c r="AB92" s="47" t="n"/>
    </row>
    <row r="93">
      <c r="A93" s="5" t="inlineStr">
        <is>
          <t>Reshape</t>
        </is>
      </c>
      <c r="B93" s="7" t="inlineStr">
        <is>
          <t>Head reshape V</t>
        </is>
      </c>
      <c r="C93" s="11" t="n">
        <v>240</v>
      </c>
      <c r="D93" s="11" t="n">
        <v>16</v>
      </c>
      <c r="E93" s="11" t="n">
        <v>0</v>
      </c>
      <c r="F93" s="2" t="n">
        <v>0</v>
      </c>
      <c r="G93" s="2" t="n">
        <v>0</v>
      </c>
      <c r="H93" s="2" t="n">
        <v>0</v>
      </c>
      <c r="I93" s="3" t="n">
        <v>0</v>
      </c>
      <c r="J93" s="3" t="n">
        <v>0</v>
      </c>
      <c r="K93" s="3" t="n">
        <v>0</v>
      </c>
      <c r="L93" s="13" t="n">
        <v>60</v>
      </c>
      <c r="M93" s="13" t="n">
        <v>16</v>
      </c>
      <c r="N93" s="13" t="n">
        <v>4</v>
      </c>
      <c r="O93" s="3">
        <f>C93*D93/1024</f>
        <v/>
      </c>
      <c r="P93" s="3">
        <f>F93*G93/1024</f>
        <v/>
      </c>
      <c r="Q93" s="3" t="n">
        <v>0</v>
      </c>
      <c r="R93" s="3">
        <f>L93*M93*N93/1024</f>
        <v/>
      </c>
      <c r="S93" s="3">
        <f>0</f>
        <v/>
      </c>
      <c r="T93" s="3">
        <f>0</f>
        <v/>
      </c>
      <c r="U93" s="26" t="n">
        <v>0</v>
      </c>
      <c r="V93" s="26" t="n">
        <v>0</v>
      </c>
      <c r="W93" s="26" t="n">
        <v>0</v>
      </c>
      <c r="X93" s="26" t="n">
        <v>0</v>
      </c>
      <c r="AA93" s="50" t="n"/>
      <c r="AB93" s="47" t="n"/>
    </row>
    <row r="94">
      <c r="A94" s="7" t="inlineStr">
        <is>
          <t>Mat mul</t>
        </is>
      </c>
      <c r="B94" s="7" t="inlineStr">
        <is>
          <t>QKt</t>
        </is>
      </c>
      <c r="C94" s="11" t="n">
        <v>60</v>
      </c>
      <c r="D94" s="11" t="n">
        <v>16</v>
      </c>
      <c r="E94" s="11" t="n">
        <v>0</v>
      </c>
      <c r="F94" s="2" t="n">
        <v>60</v>
      </c>
      <c r="G94" s="2" t="n">
        <v>16</v>
      </c>
      <c r="H94" s="2" t="n">
        <v>0</v>
      </c>
      <c r="I94" s="3" t="n">
        <v>0</v>
      </c>
      <c r="J94" s="3" t="n">
        <v>0</v>
      </c>
      <c r="K94" s="3" t="n">
        <v>0</v>
      </c>
      <c r="L94" s="13" t="n">
        <v>16</v>
      </c>
      <c r="M94" s="13" t="n">
        <v>16</v>
      </c>
      <c r="N94" s="13" t="n">
        <v>0</v>
      </c>
      <c r="O94" s="3">
        <f>C94*D94/1024</f>
        <v/>
      </c>
      <c r="P94" s="3">
        <f>F94*G94/1024</f>
        <v/>
      </c>
      <c r="Q94" s="3" t="n">
        <v>0</v>
      </c>
      <c r="R94" s="3">
        <f>L94*M94/1024</f>
        <v/>
      </c>
      <c r="S94" s="3">
        <f>(C94*D94*G94/128)*2</f>
        <v/>
      </c>
      <c r="T94" s="3">
        <f>(S94/$Y$2)/1000</f>
        <v/>
      </c>
      <c r="U94" s="26">
        <f>((O94*8*1024)/$T94)/1000</f>
        <v/>
      </c>
      <c r="V94" s="26">
        <f>((P94*8*1024)/$T94)/1000</f>
        <v/>
      </c>
      <c r="W94" s="26">
        <f>((Q94*8*1024)/$T94)/1000</f>
        <v/>
      </c>
      <c r="X94" s="26">
        <f>((R94*8*1024)/$T94)/1000</f>
        <v/>
      </c>
      <c r="Y94" s="34" t="inlineStr">
        <is>
          <t>4X</t>
        </is>
      </c>
      <c r="Z94" s="49" t="n"/>
      <c r="AA94" s="50" t="n"/>
      <c r="AB94" s="47" t="n"/>
    </row>
    <row r="95">
      <c r="A95" s="7" t="inlineStr">
        <is>
          <t>Scaling</t>
        </is>
      </c>
      <c r="B95" s="7" t="inlineStr">
        <is>
          <t>Scaling</t>
        </is>
      </c>
      <c r="C95" s="11" t="n">
        <v>16</v>
      </c>
      <c r="D95" s="11" t="n">
        <v>16</v>
      </c>
      <c r="E95" s="11" t="n">
        <v>0</v>
      </c>
      <c r="F95" s="2" t="n">
        <v>0</v>
      </c>
      <c r="G95" s="2" t="n">
        <v>0</v>
      </c>
      <c r="H95" s="2" t="n">
        <v>0</v>
      </c>
      <c r="I95" s="3" t="n">
        <v>0</v>
      </c>
      <c r="J95" s="3" t="n">
        <v>0</v>
      </c>
      <c r="K95" s="3" t="n">
        <v>0</v>
      </c>
      <c r="L95" s="13" t="n">
        <v>16</v>
      </c>
      <c r="M95" s="13" t="n">
        <v>16</v>
      </c>
      <c r="N95" s="13" t="n">
        <v>0</v>
      </c>
      <c r="O95" s="3">
        <f>C95*D95/1024</f>
        <v/>
      </c>
      <c r="P95" s="3">
        <f>F95*G95/1024</f>
        <v/>
      </c>
      <c r="Q95" s="3" t="n">
        <v>0</v>
      </c>
      <c r="R95" s="3">
        <f>L95*M95/1024</f>
        <v/>
      </c>
      <c r="S95" s="3">
        <f>C95*D95/128</f>
        <v/>
      </c>
      <c r="T95" s="3">
        <f>(S95/$Y$2)/1000</f>
        <v/>
      </c>
      <c r="U95" s="26">
        <f>((O95*8*1024)/$T95)/1000</f>
        <v/>
      </c>
      <c r="V95" s="26">
        <f>((P95*8*1024)/$T95)/1000</f>
        <v/>
      </c>
      <c r="W95" s="26">
        <f>((Q95*8*1024)/$T95)/1000</f>
        <v/>
      </c>
      <c r="X95" s="26">
        <f>((R95*8*1024)/$T95)/1000</f>
        <v/>
      </c>
      <c r="Z95" s="47" t="n"/>
      <c r="AA95" s="50" t="n"/>
      <c r="AB95" s="47" t="n"/>
    </row>
    <row r="96">
      <c r="A96" s="7" t="inlineStr">
        <is>
          <t>Softmax</t>
        </is>
      </c>
      <c r="B96" s="7" t="inlineStr">
        <is>
          <t>Row</t>
        </is>
      </c>
      <c r="C96" s="11" t="n">
        <v>16</v>
      </c>
      <c r="D96" s="11" t="n">
        <v>16</v>
      </c>
      <c r="E96" s="11" t="n">
        <v>0</v>
      </c>
      <c r="F96" s="2" t="n">
        <v>0</v>
      </c>
      <c r="G96" s="2" t="n">
        <v>0</v>
      </c>
      <c r="H96" s="2" t="n">
        <v>0</v>
      </c>
      <c r="I96" s="3" t="n">
        <v>0</v>
      </c>
      <c r="J96" s="3" t="n">
        <v>0</v>
      </c>
      <c r="K96" s="3" t="n">
        <v>0</v>
      </c>
      <c r="L96" s="13" t="n">
        <v>16</v>
      </c>
      <c r="M96" s="13" t="n">
        <v>16</v>
      </c>
      <c r="N96" s="13" t="n">
        <v>0</v>
      </c>
      <c r="O96" s="3">
        <f>C96*D96/1024</f>
        <v/>
      </c>
      <c r="P96" s="3">
        <f>F96*G96/1024</f>
        <v/>
      </c>
      <c r="Q96" s="3" t="n">
        <v>0</v>
      </c>
      <c r="R96" s="3">
        <f>L96*M96/1024</f>
        <v/>
      </c>
      <c r="S96" s="3">
        <f>C96*D96*5/128</f>
        <v/>
      </c>
      <c r="T96" s="3">
        <f>(S96/$Y$2)/1000</f>
        <v/>
      </c>
      <c r="U96" s="26">
        <f>((O96*8*1024)/$T96)/1000</f>
        <v/>
      </c>
      <c r="V96" s="26">
        <f>((P96*8*1024)/$T96)/1000</f>
        <v/>
      </c>
      <c r="W96" s="26">
        <f>((Q96*8*1024)/$T96)/1000</f>
        <v/>
      </c>
      <c r="X96" s="26">
        <f>((R96*8*1024)/$T96)/1000</f>
        <v/>
      </c>
      <c r="Z96" s="47" t="n"/>
      <c r="AA96" s="50" t="n"/>
      <c r="AB96" s="47" t="n"/>
    </row>
    <row r="97">
      <c r="A97" s="7" t="inlineStr">
        <is>
          <t>Mat mul</t>
        </is>
      </c>
      <c r="B97" s="7" t="inlineStr">
        <is>
          <t>(QKtV)t</t>
        </is>
      </c>
      <c r="C97" s="11" t="n">
        <v>16</v>
      </c>
      <c r="D97" s="11" t="n">
        <v>16</v>
      </c>
      <c r="E97" s="11" t="n">
        <v>0</v>
      </c>
      <c r="F97" s="2" t="n">
        <v>60</v>
      </c>
      <c r="G97" s="2" t="n">
        <v>16</v>
      </c>
      <c r="H97" s="2" t="n">
        <v>0</v>
      </c>
      <c r="I97" s="3" t="n">
        <v>0</v>
      </c>
      <c r="J97" s="3" t="n">
        <v>0</v>
      </c>
      <c r="K97" s="3" t="n">
        <v>0</v>
      </c>
      <c r="L97" s="13" t="n">
        <v>60</v>
      </c>
      <c r="M97" s="13" t="n">
        <v>16</v>
      </c>
      <c r="N97" s="13" t="n">
        <v>0</v>
      </c>
      <c r="O97" s="3">
        <f>C97*D97/1024</f>
        <v/>
      </c>
      <c r="P97" s="3">
        <f>F97*G97/1024</f>
        <v/>
      </c>
      <c r="Q97" s="3" t="n">
        <v>0</v>
      </c>
      <c r="R97" s="3">
        <f>L97*M97/1024</f>
        <v/>
      </c>
      <c r="S97" s="3">
        <f>C97*D97*F97/128</f>
        <v/>
      </c>
      <c r="T97" s="3">
        <f>(S97/$Y$2)/1000</f>
        <v/>
      </c>
      <c r="U97" s="26">
        <f>((O97*8*1024)/$T97)/1000</f>
        <v/>
      </c>
      <c r="V97" s="26">
        <f>((P97*8*1024)/$T97)/1000</f>
        <v/>
      </c>
      <c r="W97" s="26">
        <f>((Q97*8*1024)/$T97)/1000</f>
        <v/>
      </c>
      <c r="X97" s="26">
        <f>((R97*8*1024)/$T97)/1000</f>
        <v/>
      </c>
      <c r="Y97" s="46" t="n"/>
      <c r="Z97" s="48" t="n"/>
      <c r="AA97" s="50" t="n"/>
      <c r="AB97" s="47" t="n"/>
    </row>
    <row r="98">
      <c r="A98" s="5" t="inlineStr">
        <is>
          <t>Reshape</t>
        </is>
      </c>
      <c r="B98" s="7" t="inlineStr">
        <is>
          <t>Concatenate heads</t>
        </is>
      </c>
      <c r="C98" s="11" t="n">
        <v>60</v>
      </c>
      <c r="D98" s="11" t="n">
        <v>16</v>
      </c>
      <c r="E98" s="11" t="n">
        <v>4</v>
      </c>
      <c r="F98" s="2" t="n">
        <v>0</v>
      </c>
      <c r="G98" s="2" t="n">
        <v>0</v>
      </c>
      <c r="H98" s="2" t="n">
        <v>0</v>
      </c>
      <c r="I98" s="3" t="n">
        <v>0</v>
      </c>
      <c r="J98" s="3" t="n">
        <v>0</v>
      </c>
      <c r="K98" s="3" t="n">
        <v>0</v>
      </c>
      <c r="L98" s="13" t="n">
        <v>240</v>
      </c>
      <c r="M98" s="13" t="n">
        <v>16</v>
      </c>
      <c r="N98" s="13" t="n">
        <v>0</v>
      </c>
      <c r="O98" s="3">
        <f>C98*D98*E98/1024</f>
        <v/>
      </c>
      <c r="P98" s="3">
        <f>F98*G98/1024</f>
        <v/>
      </c>
      <c r="Q98" s="3" t="n">
        <v>0</v>
      </c>
      <c r="R98" s="3">
        <f>L98*M98/1024</f>
        <v/>
      </c>
      <c r="S98" s="3" t="n">
        <v>0</v>
      </c>
      <c r="T98" s="3" t="n">
        <v>0</v>
      </c>
      <c r="U98" s="26" t="n">
        <v>0</v>
      </c>
      <c r="V98" s="26" t="n">
        <v>0</v>
      </c>
      <c r="W98" s="26" t="n">
        <v>0</v>
      </c>
      <c r="X98" s="26" t="n">
        <v>0</v>
      </c>
      <c r="Y98" s="17" t="inlineStr">
        <is>
          <t>total 4[us]</t>
        </is>
      </c>
      <c r="Z98" s="17">
        <f>4*(T94+T95+T96+T97)</f>
        <v/>
      </c>
      <c r="AA98" s="50" t="n"/>
      <c r="AB98" s="47" t="n"/>
    </row>
    <row r="99">
      <c r="A99" s="7" t="inlineStr">
        <is>
          <t>Mat mul</t>
        </is>
      </c>
      <c r="B99" s="7" t="inlineStr">
        <is>
          <t>Out projection</t>
        </is>
      </c>
      <c r="C99" s="11" t="n">
        <v>240</v>
      </c>
      <c r="D99" s="11" t="n">
        <v>16</v>
      </c>
      <c r="E99" s="11" t="n">
        <v>0</v>
      </c>
      <c r="F99" s="2" t="n">
        <v>240</v>
      </c>
      <c r="G99" s="2" t="n">
        <v>240</v>
      </c>
      <c r="H99" s="2" t="n">
        <v>0</v>
      </c>
      <c r="I99" s="3" t="n">
        <v>240</v>
      </c>
      <c r="J99" s="3" t="n">
        <v>0</v>
      </c>
      <c r="K99" s="3" t="n">
        <v>0</v>
      </c>
      <c r="L99" s="13" t="n">
        <v>240</v>
      </c>
      <c r="M99" s="13" t="n">
        <v>16</v>
      </c>
      <c r="N99" s="13" t="n">
        <v>0</v>
      </c>
      <c r="O99" s="3">
        <f>C99*D99/1024</f>
        <v/>
      </c>
      <c r="P99" s="3">
        <f>F99*G99/1024</f>
        <v/>
      </c>
      <c r="Q99" s="3">
        <f>I99/128</f>
        <v/>
      </c>
      <c r="R99" s="3">
        <f>L99*M99/1024</f>
        <v/>
      </c>
      <c r="S99" s="3">
        <f>C99*D99*F99/128</f>
        <v/>
      </c>
      <c r="T99" s="3">
        <f>(S99/$Y$2)/1000</f>
        <v/>
      </c>
      <c r="U99" s="26">
        <f>((O99*8*1024)/$T99)/1000</f>
        <v/>
      </c>
      <c r="V99" s="26">
        <f>((P99*8*1024)/$T99)/1000</f>
        <v/>
      </c>
      <c r="W99" s="26">
        <f>((Q99*8*1024)/$T99)/1000</f>
        <v/>
      </c>
      <c r="X99" s="26">
        <f>((R99*8*1024)/$T99)/1000</f>
        <v/>
      </c>
      <c r="AA99" s="50" t="n"/>
      <c r="AB99" s="47" t="n"/>
    </row>
    <row r="100">
      <c r="A100" s="7" t="inlineStr">
        <is>
          <t xml:space="preserve">Residual </t>
        </is>
      </c>
      <c r="B100" s="7" t="inlineStr">
        <is>
          <t>Residual</t>
        </is>
      </c>
      <c r="C100" s="11" t="n">
        <v>240</v>
      </c>
      <c r="D100" s="11" t="n">
        <v>16</v>
      </c>
      <c r="E100" s="11" t="n">
        <v>0</v>
      </c>
      <c r="F100" s="2" t="n">
        <v>240</v>
      </c>
      <c r="G100" s="2" t="n">
        <v>16</v>
      </c>
      <c r="H100" s="2" t="n">
        <v>0</v>
      </c>
      <c r="I100" s="3" t="n">
        <v>0</v>
      </c>
      <c r="J100" s="3" t="n">
        <v>0</v>
      </c>
      <c r="K100" s="3" t="n">
        <v>0</v>
      </c>
      <c r="L100" s="13" t="n">
        <v>240</v>
      </c>
      <c r="M100" s="13" t="n">
        <v>16</v>
      </c>
      <c r="N100" s="13" t="n">
        <v>0</v>
      </c>
      <c r="O100" s="3">
        <f>C100*D100/1024</f>
        <v/>
      </c>
      <c r="P100" s="3">
        <f>F100*G100/1024</f>
        <v/>
      </c>
      <c r="Q100" s="3" t="n">
        <v>0</v>
      </c>
      <c r="R100" s="3">
        <f>L100*M100/1024</f>
        <v/>
      </c>
      <c r="S100" s="3">
        <f>C100*D100/128</f>
        <v/>
      </c>
      <c r="T100" s="3">
        <f>(S100/$Y$2)/1000</f>
        <v/>
      </c>
      <c r="U100" s="26">
        <f>((O100*8*1024)/$T100)/1000</f>
        <v/>
      </c>
      <c r="V100" s="26">
        <f>((P100*8*1024)/$T100)/1000</f>
        <v/>
      </c>
      <c r="W100" s="26">
        <f>((Q100*8*1024)/$T100)/1000</f>
        <v/>
      </c>
      <c r="X100" s="26">
        <f>((R100*8*1024)/$T100)/1000</f>
        <v/>
      </c>
      <c r="AA100" s="50" t="n"/>
      <c r="AB100" s="47" t="n"/>
    </row>
    <row r="101">
      <c r="A101" s="7" t="inlineStr">
        <is>
          <t>Layer Norm</t>
        </is>
      </c>
      <c r="B101" s="7" t="inlineStr">
        <is>
          <t>Layer Norm</t>
        </is>
      </c>
      <c r="C101" s="11" t="n">
        <v>240</v>
      </c>
      <c r="D101" s="11" t="n">
        <v>16</v>
      </c>
      <c r="E101" s="11" t="n">
        <v>0</v>
      </c>
      <c r="F101" s="2" t="n">
        <v>240</v>
      </c>
      <c r="G101" s="2" t="n">
        <v>2</v>
      </c>
      <c r="H101" s="2" t="n">
        <v>0</v>
      </c>
      <c r="I101" s="3" t="n">
        <v>0</v>
      </c>
      <c r="J101" s="3" t="n">
        <v>0</v>
      </c>
      <c r="K101" s="3" t="n">
        <v>0</v>
      </c>
      <c r="L101" s="13" t="n">
        <v>240</v>
      </c>
      <c r="M101" s="13" t="n">
        <v>16</v>
      </c>
      <c r="N101" s="13" t="n">
        <v>0</v>
      </c>
      <c r="O101" s="3" t="n">
        <v>144</v>
      </c>
      <c r="P101" s="3" t="n">
        <v>0.28125</v>
      </c>
      <c r="Q101" s="3" t="n">
        <v>0</v>
      </c>
      <c r="R101" s="3" t="n">
        <v>144</v>
      </c>
      <c r="S101" s="3" t="n">
        <v>8064</v>
      </c>
      <c r="T101" s="3" t="n">
        <v>8.064</v>
      </c>
      <c r="U101" s="25" t="n">
        <v>146.286</v>
      </c>
      <c r="V101" s="25" t="n">
        <v>0.286</v>
      </c>
      <c r="W101" s="25" t="n">
        <v>0</v>
      </c>
      <c r="X101" s="25" t="n">
        <v>146.286</v>
      </c>
      <c r="AA101" s="50" t="n"/>
      <c r="AB101" s="47" t="n"/>
    </row>
    <row r="102">
      <c r="A102" s="7" t="inlineStr">
        <is>
          <t>Mat mul + SiLU</t>
        </is>
      </c>
      <c r="B102" s="7" t="inlineStr">
        <is>
          <t>Feed-Forward Network</t>
        </is>
      </c>
      <c r="C102" s="11" t="n">
        <v>240</v>
      </c>
      <c r="D102" s="11" t="n">
        <v>16</v>
      </c>
      <c r="E102" s="11" t="n">
        <v>0</v>
      </c>
      <c r="F102" s="2" t="n">
        <v>240</v>
      </c>
      <c r="G102" s="2" t="n">
        <v>480</v>
      </c>
      <c r="H102" s="2" t="n">
        <v>0</v>
      </c>
      <c r="I102" s="3" t="n">
        <v>480</v>
      </c>
      <c r="J102" s="3" t="n">
        <v>0</v>
      </c>
      <c r="K102" s="3" t="n">
        <v>0</v>
      </c>
      <c r="L102" s="13" t="n">
        <v>480</v>
      </c>
      <c r="M102" s="13" t="n">
        <v>16</v>
      </c>
      <c r="N102" s="13" t="n">
        <v>0</v>
      </c>
      <c r="O102" s="3">
        <f>C102*D102/1024</f>
        <v/>
      </c>
      <c r="P102" s="3">
        <f>F102*G102/1024</f>
        <v/>
      </c>
      <c r="Q102" s="3" t="n">
        <v>0</v>
      </c>
      <c r="R102" s="3">
        <f>L102*M102/1024</f>
        <v/>
      </c>
      <c r="S102" s="3">
        <f>(C102*D102*G102/128)*2</f>
        <v/>
      </c>
      <c r="T102" s="3">
        <f>(S102/$Y$2)/1000</f>
        <v/>
      </c>
      <c r="U102" s="26">
        <f>((O102*8*1024)/$T102)/1000</f>
        <v/>
      </c>
      <c r="V102" s="26">
        <f>((P102*8*1024)/$T102)/1000</f>
        <v/>
      </c>
      <c r="W102" s="26">
        <f>((Q102*8*1024)/$T102)/1000</f>
        <v/>
      </c>
      <c r="X102" s="26">
        <f>((R102*8*1024)/$T102)/1000</f>
        <v/>
      </c>
      <c r="AA102" s="50" t="n"/>
      <c r="AB102" s="47" t="n"/>
    </row>
    <row r="103">
      <c r="A103" s="7" t="inlineStr">
        <is>
          <t xml:space="preserve">Mat mul </t>
        </is>
      </c>
      <c r="B103" s="7" t="inlineStr">
        <is>
          <t>Feed-Forward Network</t>
        </is>
      </c>
      <c r="C103" s="11" t="n">
        <v>480</v>
      </c>
      <c r="D103" s="11" t="n">
        <v>16</v>
      </c>
      <c r="E103" s="11" t="n">
        <v>0</v>
      </c>
      <c r="F103" s="2" t="n">
        <v>480</v>
      </c>
      <c r="G103" s="2" t="n">
        <v>240</v>
      </c>
      <c r="H103" s="2" t="n">
        <v>0</v>
      </c>
      <c r="I103" s="3" t="n">
        <v>240</v>
      </c>
      <c r="J103" s="3" t="n">
        <v>0</v>
      </c>
      <c r="K103" s="3" t="n">
        <v>0</v>
      </c>
      <c r="L103" s="13" t="n">
        <v>240</v>
      </c>
      <c r="M103" s="13" t="n">
        <v>16</v>
      </c>
      <c r="N103" s="13" t="n">
        <v>0</v>
      </c>
      <c r="O103" s="3">
        <f>C103*D103/1024</f>
        <v/>
      </c>
      <c r="P103" s="3">
        <f>F103*G103/1024</f>
        <v/>
      </c>
      <c r="Q103" s="3" t="n">
        <v>0</v>
      </c>
      <c r="R103" s="3">
        <f>L103*M103/1024</f>
        <v/>
      </c>
      <c r="S103" s="3">
        <f>(C103*D103*G103/128)*2</f>
        <v/>
      </c>
      <c r="T103" s="3">
        <f>(S103/$Y$2)/1000</f>
        <v/>
      </c>
      <c r="U103" s="26">
        <f>((O103*8*1024)/$T103)/1000</f>
        <v/>
      </c>
      <c r="V103" s="26">
        <f>((P103*8*1024)/$T103)/1000</f>
        <v/>
      </c>
      <c r="W103" s="26">
        <f>((Q103*8*1024)/$T103)/1000</f>
        <v/>
      </c>
      <c r="X103" s="26">
        <f>((R103*8*1024)/$T103)/1000</f>
        <v/>
      </c>
      <c r="AA103" s="50" t="n"/>
      <c r="AB103" s="47" t="n"/>
    </row>
    <row r="104">
      <c r="A104" s="7" t="inlineStr">
        <is>
          <t xml:space="preserve">Residual </t>
        </is>
      </c>
      <c r="B104" s="7" t="inlineStr">
        <is>
          <t>Residual</t>
        </is>
      </c>
      <c r="C104" s="11" t="n">
        <v>240</v>
      </c>
      <c r="D104" s="11" t="n">
        <v>16</v>
      </c>
      <c r="E104" s="11" t="n">
        <v>0</v>
      </c>
      <c r="F104" s="2" t="n">
        <v>240</v>
      </c>
      <c r="G104" s="2" t="n">
        <v>16</v>
      </c>
      <c r="H104" s="2" t="n">
        <v>0</v>
      </c>
      <c r="I104" s="3" t="n">
        <v>0</v>
      </c>
      <c r="J104" s="3" t="n">
        <v>0</v>
      </c>
      <c r="K104" s="3" t="n">
        <v>0</v>
      </c>
      <c r="L104" s="13" t="n">
        <v>240</v>
      </c>
      <c r="M104" s="13" t="n">
        <v>16</v>
      </c>
      <c r="N104" s="13" t="n">
        <v>0</v>
      </c>
      <c r="O104" s="3">
        <f>C104*D104/1024</f>
        <v/>
      </c>
      <c r="P104" s="3">
        <f>F104*G104/1024</f>
        <v/>
      </c>
      <c r="Q104" s="3" t="n">
        <v>0</v>
      </c>
      <c r="R104" s="3">
        <f>L104*M104/1024</f>
        <v/>
      </c>
      <c r="S104" s="3">
        <f>C104*D104/128</f>
        <v/>
      </c>
      <c r="T104" s="3">
        <f>(S104/$Y$2)/1000</f>
        <v/>
      </c>
      <c r="U104" s="26">
        <f>((O104*8*1024)/$T104)/1000</f>
        <v/>
      </c>
      <c r="V104" s="26">
        <f>((P104*8*1024)/$T104)/1000</f>
        <v/>
      </c>
      <c r="W104" s="26">
        <f>((Q104*8*1024)/$T104)/1000</f>
        <v/>
      </c>
      <c r="X104" s="26">
        <f>((R104*8*1024)/$T104)/1000</f>
        <v/>
      </c>
      <c r="AA104" s="50" t="n"/>
      <c r="AB104" s="47" t="n"/>
    </row>
    <row r="105">
      <c r="A105" s="7" t="inlineStr">
        <is>
          <t>Layer Norm</t>
        </is>
      </c>
      <c r="B105" s="7" t="inlineStr">
        <is>
          <t>Layer Norm</t>
        </is>
      </c>
      <c r="C105" s="11" t="n">
        <v>240</v>
      </c>
      <c r="D105" s="11" t="n">
        <v>16</v>
      </c>
      <c r="E105" s="11" t="n">
        <v>0</v>
      </c>
      <c r="F105" s="2" t="n">
        <v>240</v>
      </c>
      <c r="G105" s="2" t="n">
        <v>2</v>
      </c>
      <c r="H105" s="2" t="n">
        <v>0</v>
      </c>
      <c r="I105" s="3" t="n">
        <v>0</v>
      </c>
      <c r="J105" s="3" t="n">
        <v>0</v>
      </c>
      <c r="K105" s="3" t="n">
        <v>0</v>
      </c>
      <c r="L105" s="13" t="n">
        <v>240</v>
      </c>
      <c r="M105" s="13" t="n">
        <v>16</v>
      </c>
      <c r="N105" s="13" t="n">
        <v>0</v>
      </c>
      <c r="O105" s="3" t="n">
        <v>144</v>
      </c>
      <c r="P105" s="3" t="n">
        <v>0.28125</v>
      </c>
      <c r="Q105" s="3" t="n">
        <v>0</v>
      </c>
      <c r="R105" s="3" t="n">
        <v>144</v>
      </c>
      <c r="S105" s="3" t="n">
        <v>8064</v>
      </c>
      <c r="T105" s="3" t="n">
        <v>8.064</v>
      </c>
      <c r="U105" s="25" t="n">
        <v>146.286</v>
      </c>
      <c r="V105" s="25" t="n">
        <v>0.286</v>
      </c>
      <c r="W105" s="25" t="n">
        <v>0</v>
      </c>
      <c r="X105" s="25" t="n">
        <v>146.286</v>
      </c>
      <c r="AA105" s="51" t="n"/>
      <c r="AB105" s="48" t="n"/>
    </row>
    <row r="106">
      <c r="A106" s="5" t="inlineStr">
        <is>
          <t>Reshape</t>
        </is>
      </c>
      <c r="B106" s="6" t="inlineStr">
        <is>
          <t xml:space="preserve">Patch folding </t>
        </is>
      </c>
      <c r="C106" s="11" t="n">
        <v>240</v>
      </c>
      <c r="D106" s="11" t="n">
        <v>16</v>
      </c>
      <c r="E106" s="11" t="n">
        <v>4</v>
      </c>
      <c r="F106" s="2" t="n">
        <v>0</v>
      </c>
      <c r="G106" s="2" t="n">
        <v>0</v>
      </c>
      <c r="H106" s="2" t="n">
        <v>0</v>
      </c>
      <c r="I106" s="3" t="n">
        <v>0</v>
      </c>
      <c r="J106" s="3" t="n">
        <v>0</v>
      </c>
      <c r="K106" s="3" t="n">
        <v>0</v>
      </c>
      <c r="L106" s="13" t="n">
        <v>8</v>
      </c>
      <c r="M106" s="13" t="n">
        <v>8</v>
      </c>
      <c r="N106" s="13" t="n">
        <v>240</v>
      </c>
      <c r="O106" s="3">
        <f>C106*D106*E106/1024</f>
        <v/>
      </c>
      <c r="P106" s="3">
        <f>F106*F106*G106*H106/1024</f>
        <v/>
      </c>
      <c r="Q106" s="3">
        <f>I106/1024</f>
        <v/>
      </c>
      <c r="R106" s="3">
        <f>L106*M106*N106/1024</f>
        <v/>
      </c>
      <c r="S106" s="3">
        <f>(F106*F106)*L106*M106*N106/128</f>
        <v/>
      </c>
      <c r="T106" s="3">
        <f>(S106/$Y$2)/1000</f>
        <v/>
      </c>
      <c r="U106" s="28">
        <f>((O106*8*1024)/$T106)/1000</f>
        <v/>
      </c>
      <c r="V106" s="28">
        <f>((P106*8*1024)/$T106)/1000</f>
        <v/>
      </c>
      <c r="W106" s="28">
        <f>((Q106*8*1024)/$T106)/1000</f>
        <v/>
      </c>
      <c r="X106" s="28">
        <f>((R106*8*1024)/$T106)/1000</f>
        <v/>
      </c>
      <c r="Y106" s="17" t="inlineStr">
        <is>
          <t>total 3 blocks[us]</t>
        </is>
      </c>
      <c r="Z106" s="18">
        <f>3*(T87+T88+T89+T90+T91+T92+T93+Z98+T98+T99+T100+T101+T102+T103+T104+T105)</f>
        <v/>
      </c>
    </row>
    <row r="107">
      <c r="A107" s="7" t="inlineStr">
        <is>
          <t>Conv + SiLU + BN</t>
        </is>
      </c>
      <c r="B107" s="7" t="inlineStr">
        <is>
          <t xml:space="preserve">Conv </t>
        </is>
      </c>
      <c r="C107" s="11" t="n">
        <v>8</v>
      </c>
      <c r="D107" s="11" t="n">
        <v>8</v>
      </c>
      <c r="E107" s="11" t="n">
        <v>240</v>
      </c>
      <c r="F107" s="2" t="n">
        <v>1</v>
      </c>
      <c r="G107" s="2" t="n">
        <v>240</v>
      </c>
      <c r="H107" s="2" t="n">
        <v>160</v>
      </c>
      <c r="I107" s="3" t="n">
        <v>160</v>
      </c>
      <c r="J107" s="3" t="n">
        <v>2</v>
      </c>
      <c r="K107" s="3" t="n">
        <v>0</v>
      </c>
      <c r="L107" s="13" t="n">
        <v>8</v>
      </c>
      <c r="M107" s="13" t="n">
        <v>8</v>
      </c>
      <c r="N107" s="13" t="n">
        <v>160</v>
      </c>
      <c r="O107" s="3">
        <f>C107*D107*E107/1024</f>
        <v/>
      </c>
      <c r="P107" s="3">
        <f>F107*F107*G107*H107/1024</f>
        <v/>
      </c>
      <c r="Q107" s="3">
        <f>I107*J107/1024</f>
        <v/>
      </c>
      <c r="R107" s="3">
        <f>L107*M107*N107/1024</f>
        <v/>
      </c>
      <c r="S107" s="3">
        <f>(L107*M107*N107)*(F107*F107*G107)/128</f>
        <v/>
      </c>
      <c r="T107" s="3">
        <f>(S107/$Y$2)/1000</f>
        <v/>
      </c>
      <c r="U107" s="26">
        <f>((O107*8*1024)/$T107)/1000</f>
        <v/>
      </c>
      <c r="V107" s="26">
        <f>((P107*8*1024)/$T107)/1000</f>
        <v/>
      </c>
      <c r="W107" s="26">
        <f>((Q107*8*1024)/$T107)/1000</f>
        <v/>
      </c>
      <c r="X107" s="26">
        <f>((R107*8*1024)/$T107)/1000</f>
        <v/>
      </c>
      <c r="Y107" s="37" t="inlineStr">
        <is>
          <t>Fusion block</t>
        </is>
      </c>
    </row>
    <row r="108">
      <c r="A108" s="5" t="inlineStr">
        <is>
          <t>Reshape</t>
        </is>
      </c>
      <c r="B108" s="7" t="inlineStr">
        <is>
          <t>Fusion</t>
        </is>
      </c>
      <c r="C108" s="11" t="n">
        <v>8</v>
      </c>
      <c r="D108" s="11" t="n">
        <v>8</v>
      </c>
      <c r="E108" s="11" t="n">
        <v>160</v>
      </c>
      <c r="F108" s="2" t="n">
        <v>8</v>
      </c>
      <c r="G108" s="2" t="n">
        <v>8</v>
      </c>
      <c r="H108" s="2" t="n">
        <v>160</v>
      </c>
      <c r="I108" s="3" t="n">
        <v>0</v>
      </c>
      <c r="J108" s="3" t="n">
        <v>0</v>
      </c>
      <c r="K108" s="3" t="n">
        <v>0</v>
      </c>
      <c r="L108" s="13" t="n">
        <v>8</v>
      </c>
      <c r="M108" s="13" t="n">
        <v>8</v>
      </c>
      <c r="N108" s="13" t="n">
        <v>320</v>
      </c>
      <c r="O108" s="3">
        <f>C108*D108*E108/1024</f>
        <v/>
      </c>
      <c r="P108" s="3">
        <f>F108*G108*H108/1024</f>
        <v/>
      </c>
      <c r="Q108" s="3" t="n">
        <v>0</v>
      </c>
      <c r="R108" s="3">
        <f>L108*M108*N108/1024</f>
        <v/>
      </c>
      <c r="S108" s="3" t="n">
        <v>0</v>
      </c>
      <c r="T108" s="3" t="n">
        <v>0</v>
      </c>
      <c r="U108" s="28">
        <f>((O108*8*1024)/$T108)/1000</f>
        <v/>
      </c>
      <c r="V108" s="28">
        <f>((P108*8*1024)/$T108)/1000</f>
        <v/>
      </c>
      <c r="W108" s="28">
        <f>((Q108*8*1024)/$T108)/1000</f>
        <v/>
      </c>
      <c r="X108" s="28">
        <f>((R108*8*1024)/$T108)/1000</f>
        <v/>
      </c>
      <c r="Y108" s="47" t="n"/>
    </row>
    <row r="109">
      <c r="A109" s="7" t="inlineStr">
        <is>
          <t>Conv + SiLU + BN</t>
        </is>
      </c>
      <c r="B109" s="7" t="inlineStr">
        <is>
          <t xml:space="preserve">Conv </t>
        </is>
      </c>
      <c r="C109" s="11" t="n">
        <v>8</v>
      </c>
      <c r="D109" s="11" t="n">
        <v>8</v>
      </c>
      <c r="E109" s="11" t="n">
        <v>320</v>
      </c>
      <c r="F109" s="2" t="n">
        <v>3</v>
      </c>
      <c r="G109" s="2" t="n">
        <v>320</v>
      </c>
      <c r="H109" s="2" t="n">
        <v>160</v>
      </c>
      <c r="I109" s="3" t="n">
        <v>160</v>
      </c>
      <c r="J109" s="3" t="n">
        <v>2</v>
      </c>
      <c r="K109" s="3" t="n">
        <v>0</v>
      </c>
      <c r="L109" s="13" t="n">
        <v>8</v>
      </c>
      <c r="M109" s="13" t="n">
        <v>8</v>
      </c>
      <c r="N109" s="13" t="n">
        <v>160</v>
      </c>
      <c r="O109" s="3">
        <f>C109*D109*E109/1024</f>
        <v/>
      </c>
      <c r="P109" s="3">
        <f>F109*F109*G109*H109/1024</f>
        <v/>
      </c>
      <c r="Q109" s="3">
        <f>I109*J109/1024</f>
        <v/>
      </c>
      <c r="R109" s="3">
        <f>L109*M109*N109/1024</f>
        <v/>
      </c>
      <c r="S109" s="3">
        <f>(L109*M109*N109)*(F109*F109*G109)/128</f>
        <v/>
      </c>
      <c r="T109" s="3">
        <f>(S109/$Y$2)/1000</f>
        <v/>
      </c>
      <c r="U109" s="26">
        <f>((O109*8*1024)/$T109)/1000</f>
        <v/>
      </c>
      <c r="V109" s="26">
        <f>((P109*8*1024)/$T109)/1000</f>
        <v/>
      </c>
      <c r="W109" s="26">
        <f>((Q109*8*1024)/$T109)/1000</f>
        <v/>
      </c>
      <c r="X109" s="26">
        <f>((R109*8*1024)/$T109)/1000</f>
        <v/>
      </c>
      <c r="Y109" s="48" t="n"/>
    </row>
    <row r="110">
      <c r="A110" s="7" t="inlineStr">
        <is>
          <t xml:space="preserve">Conv </t>
        </is>
      </c>
      <c r="B110" s="7" t="inlineStr">
        <is>
          <t>Conv</t>
        </is>
      </c>
      <c r="C110" s="11" t="n">
        <v>8</v>
      </c>
      <c r="D110" s="11" t="n">
        <v>8</v>
      </c>
      <c r="E110" s="11" t="n">
        <v>160</v>
      </c>
      <c r="F110" s="2" t="n">
        <v>1</v>
      </c>
      <c r="G110" s="2" t="n">
        <v>160</v>
      </c>
      <c r="H110" s="2" t="n">
        <v>640</v>
      </c>
      <c r="I110" s="3" t="n">
        <v>0</v>
      </c>
      <c r="J110" s="3" t="n">
        <v>0</v>
      </c>
      <c r="K110" s="3" t="n">
        <v>0</v>
      </c>
      <c r="L110" s="13" t="n">
        <v>8</v>
      </c>
      <c r="M110" s="13" t="n">
        <v>8</v>
      </c>
      <c r="N110" s="13" t="n">
        <v>640</v>
      </c>
      <c r="O110" s="3">
        <f>C110*D110*E110/1024</f>
        <v/>
      </c>
      <c r="P110" s="3">
        <f>F110*F110*G110*H110/1024</f>
        <v/>
      </c>
      <c r="Q110" s="3">
        <f>I110*J110/1024</f>
        <v/>
      </c>
      <c r="R110" s="3">
        <f>L110*M110*N110/1024</f>
        <v/>
      </c>
      <c r="S110" s="3">
        <f>(L110*M110*N110)*(F110*F110*G110)/128</f>
        <v/>
      </c>
      <c r="T110" s="3">
        <f>(S110/$Y$2)/1000</f>
        <v/>
      </c>
      <c r="U110" s="26">
        <f>((O110*8*1024)/$T110)/1000</f>
        <v/>
      </c>
      <c r="V110" s="26">
        <f>((P110*8*1024)/$T110)/1000</f>
        <v/>
      </c>
      <c r="W110" s="26">
        <f>((Q110*8*1024)/$T110)/1000</f>
        <v/>
      </c>
      <c r="X110" s="26">
        <f>((R110*8*1024)/$T110)/1000</f>
        <v/>
      </c>
    </row>
    <row r="111">
      <c r="A111" s="7" t="inlineStr">
        <is>
          <t>Global Pooling</t>
        </is>
      </c>
      <c r="B111" s="7" t="inlineStr">
        <is>
          <t>Average</t>
        </is>
      </c>
      <c r="C111" s="11" t="n">
        <v>8</v>
      </c>
      <c r="D111" s="11" t="n">
        <v>8</v>
      </c>
      <c r="E111" s="11" t="n">
        <v>640</v>
      </c>
      <c r="F111" s="2" t="n">
        <v>0</v>
      </c>
      <c r="G111" s="2" t="n">
        <v>0</v>
      </c>
      <c r="H111" s="2" t="n">
        <v>0</v>
      </c>
      <c r="I111" s="3" t="n">
        <v>0</v>
      </c>
      <c r="J111" s="3" t="n">
        <v>0</v>
      </c>
      <c r="K111" s="3" t="n">
        <v>0</v>
      </c>
      <c r="L111" s="13" t="n">
        <v>1</v>
      </c>
      <c r="M111" s="13" t="n">
        <v>1</v>
      </c>
      <c r="N111" s="13" t="n">
        <v>640</v>
      </c>
      <c r="O111" s="3">
        <f>C111*D111*E111/1024</f>
        <v/>
      </c>
      <c r="P111" s="3" t="n">
        <v>0</v>
      </c>
      <c r="Q111" s="3" t="n">
        <v>0</v>
      </c>
      <c r="R111" s="3">
        <f>L111*M111*N111/1024</f>
        <v/>
      </c>
      <c r="S111" s="3" t="n">
        <v>0</v>
      </c>
      <c r="T111" s="3" t="n">
        <v>0</v>
      </c>
      <c r="U111" s="29" t="n"/>
      <c r="V111" s="29" t="n"/>
      <c r="W111" s="29" t="n"/>
      <c r="X111" s="29" t="n"/>
    </row>
    <row r="112">
      <c r="A112" s="7" t="inlineStr">
        <is>
          <t xml:space="preserve">Fully connected </t>
        </is>
      </c>
      <c r="B112" s="7" t="inlineStr">
        <is>
          <t>FC</t>
        </is>
      </c>
      <c r="C112" s="11" t="n">
        <v>1</v>
      </c>
      <c r="D112" s="11" t="n">
        <v>640</v>
      </c>
      <c r="E112" s="11" t="n">
        <v>0</v>
      </c>
      <c r="F112" s="2" t="n">
        <v>1000</v>
      </c>
      <c r="G112" s="2" t="n">
        <v>640</v>
      </c>
      <c r="H112" s="2" t="n">
        <v>0</v>
      </c>
      <c r="I112" s="3" t="n">
        <v>1000</v>
      </c>
      <c r="J112" s="3" t="n">
        <v>1</v>
      </c>
      <c r="K112" s="3" t="n">
        <v>0</v>
      </c>
      <c r="L112" s="13" t="n">
        <v>1</v>
      </c>
      <c r="M112" s="13" t="n">
        <v>1000</v>
      </c>
      <c r="N112" s="13" t="n">
        <v>0</v>
      </c>
      <c r="O112" s="3">
        <f>C112*D112/1024</f>
        <v/>
      </c>
      <c r="P112" s="3">
        <f>F112*G112/1024</f>
        <v/>
      </c>
      <c r="Q112" s="3" t="n">
        <v>0</v>
      </c>
      <c r="R112" s="3">
        <f>L112*M112/1024</f>
        <v/>
      </c>
      <c r="S112" s="3">
        <f>(F112*G112/128)*2</f>
        <v/>
      </c>
      <c r="T112" s="3">
        <f>(S112/$Y$2)/1000</f>
        <v/>
      </c>
      <c r="U112" s="26">
        <f>((O112*8*1024)/$T112)/1000</f>
        <v/>
      </c>
      <c r="V112" s="26">
        <f>((P112*8*1024)/$T112)/1000</f>
        <v/>
      </c>
      <c r="W112" s="26">
        <f>((Q112*8*1024)/$T112)/1000</f>
        <v/>
      </c>
      <c r="X112" s="26">
        <f>((R112*8*1024)/$T112)/1000</f>
        <v/>
      </c>
    </row>
    <row r="113">
      <c r="U113" s="25" t="n"/>
      <c r="V113" s="25" t="n"/>
      <c r="W113" s="25" t="n"/>
      <c r="X113" s="25" t="n"/>
    </row>
    <row r="114">
      <c r="U114" s="25" t="n"/>
      <c r="V114" s="25" t="n"/>
      <c r="W114" s="25" t="n"/>
      <c r="X114" s="25" t="n"/>
    </row>
    <row r="115">
      <c r="U115" s="30" t="inlineStr">
        <is>
          <t>total time</t>
        </is>
      </c>
      <c r="V115" s="31">
        <f>SUM(T3:T26)+Z46+SUM(T46:T56)+Z76+SUM(T76:T86)+Z106+SUM(T106:T112)</f>
        <v/>
      </c>
      <c r="W115" s="30" t="inlineStr">
        <is>
          <t>FPS</t>
        </is>
      </c>
      <c r="X115" s="30">
        <f>10^6/V115</f>
        <v/>
      </c>
    </row>
    <row r="116">
      <c r="A116" s="20" t="n"/>
      <c r="B116" s="20" t="n"/>
      <c r="C116" s="21" t="n"/>
      <c r="D116" s="21" t="n"/>
      <c r="E116" s="21" t="n"/>
      <c r="F116" s="22" t="n"/>
      <c r="G116" s="22" t="n"/>
      <c r="H116" s="22" t="n"/>
      <c r="I116" s="23" t="n"/>
      <c r="J116" s="23" t="n"/>
      <c r="K116" s="23" t="n"/>
      <c r="L116" s="24" t="n"/>
      <c r="M116" s="24" t="n"/>
      <c r="N116" s="24" t="n"/>
      <c r="O116" s="23" t="n"/>
      <c r="P116" s="23" t="n"/>
      <c r="Q116" s="23" t="n"/>
      <c r="R116" s="23" t="n"/>
      <c r="S116" s="23" t="n"/>
      <c r="T116" s="23" t="n"/>
    </row>
    <row r="216">
      <c r="A216" s="7" t="n"/>
      <c r="B216" s="7" t="n"/>
    </row>
    <row r="218">
      <c r="C218" s="10" t="n"/>
      <c r="D218" s="10" t="n"/>
      <c r="E218" s="10" t="n"/>
      <c r="F218" s="1" t="n"/>
      <c r="G218" s="1" t="n"/>
      <c r="H218" s="1" t="n"/>
      <c r="L218" s="12" t="n"/>
      <c r="M218" s="12" t="n"/>
      <c r="N218" s="12" t="n"/>
      <c r="O218" s="4" t="n"/>
      <c r="P218" s="4" t="n"/>
      <c r="Q218" s="4" t="n"/>
      <c r="R218" s="4" t="n"/>
      <c r="S218" s="4" t="n"/>
      <c r="T218" s="4" t="n"/>
    </row>
    <row r="219">
      <c r="A219" s="7" t="n"/>
      <c r="B219" s="7" t="n"/>
    </row>
    <row r="221">
      <c r="C221" s="10" t="n"/>
      <c r="D221" s="10" t="n"/>
      <c r="E221" s="10" t="n"/>
      <c r="F221" s="1" t="n"/>
      <c r="G221" s="1" t="n"/>
      <c r="H221" s="1" t="n"/>
      <c r="L221" s="12" t="n"/>
      <c r="M221" s="12" t="n"/>
      <c r="N221" s="12" t="n"/>
      <c r="O221" s="4" t="n"/>
      <c r="P221" s="4" t="n"/>
      <c r="Q221" s="4" t="n"/>
      <c r="R221" s="4" t="n"/>
      <c r="S221" s="4" t="n"/>
      <c r="T221" s="4" t="n"/>
    </row>
    <row r="222">
      <c r="A222" s="7" t="n"/>
      <c r="B222" s="9" t="n"/>
    </row>
    <row r="224">
      <c r="C224" s="10" t="n"/>
      <c r="D224" s="10" t="n"/>
      <c r="E224" s="10" t="n"/>
      <c r="F224" s="1" t="n"/>
      <c r="G224" s="1" t="n"/>
      <c r="H224" s="1" t="n"/>
      <c r="L224" s="12" t="n"/>
      <c r="M224" s="12" t="n"/>
      <c r="N224" s="12" t="n"/>
      <c r="O224" s="4" t="n"/>
      <c r="P224" s="4" t="n"/>
      <c r="Q224" s="4" t="n"/>
      <c r="R224" s="4" t="n"/>
      <c r="S224" s="4" t="n"/>
      <c r="T224" s="4" t="n"/>
    </row>
    <row r="225">
      <c r="A225" s="7" t="n"/>
      <c r="B225" s="7" t="n"/>
    </row>
  </sheetData>
  <mergeCells count="20">
    <mergeCell ref="Y24:Y25"/>
    <mergeCell ref="Y34:Z37"/>
    <mergeCell ref="Y77:Y79"/>
    <mergeCell ref="AA27:AB45"/>
    <mergeCell ref="AA57:AB75"/>
    <mergeCell ref="Y20:Y23"/>
    <mergeCell ref="Y54:Y55"/>
    <mergeCell ref="Y107:Y109"/>
    <mergeCell ref="Y84:Y85"/>
    <mergeCell ref="Y47:Y49"/>
    <mergeCell ref="Y16:Y19"/>
    <mergeCell ref="Y50:Y53"/>
    <mergeCell ref="Y80:Y83"/>
    <mergeCell ref="Y12:Y15"/>
    <mergeCell ref="Y5:Y7"/>
    <mergeCell ref="Y8:Y11"/>
    <mergeCell ref="Y64:Z67"/>
    <mergeCell ref="Y3:Y4"/>
    <mergeCell ref="Y94:Z97"/>
    <mergeCell ref="AA87:AB1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.109375" customWidth="1" min="1" max="1"/>
    <col width="20.44140625" customWidth="1" min="2" max="2"/>
    <col width="4.109375" customWidth="1" min="3" max="3"/>
    <col width="13" customWidth="1" min="4" max="4"/>
    <col width="6.109375" customWidth="1" min="5" max="5"/>
    <col width="11.6640625" customWidth="1" min="6" max="6"/>
    <col width="5.44140625" customWidth="1" min="7" max="7"/>
    <col width="6.109375" customWidth="1" min="8" max="8"/>
    <col width="9.109375" customWidth="1" min="9" max="9"/>
    <col width="13" customWidth="1" min="10" max="10"/>
    <col width="13" customWidth="1" min="11" max="11"/>
    <col width="5.44140625" customWidth="1" min="12" max="12"/>
    <col width="13" customWidth="1" min="13" max="13"/>
    <col width="6.109375" customWidth="1" min="14" max="14"/>
    <col width="17.5546875" customWidth="1" min="15" max="15"/>
    <col width="13" customWidth="1" min="16" max="16"/>
    <col width="17.5546875" customWidth="1" min="17" max="17"/>
    <col width="17.77734375" customWidth="1" min="18" max="18"/>
    <col width="9.77734375" customWidth="1" min="19" max="19"/>
    <col width="11.21875" customWidth="1" min="20" max="20"/>
    <col width="10.88671875" customWidth="1" min="21" max="21"/>
    <col width="13" customWidth="1" min="22" max="22"/>
    <col width="10.5546875" customWidth="1" min="23" max="23"/>
    <col width="12.77734375" customWidth="1" min="24" max="24"/>
    <col width="30.33203125" customWidth="1" min="25" max="25"/>
    <col width="12.77734375" customWidth="1" min="26" max="26"/>
  </cols>
  <sheetData>
    <row r="1">
      <c r="A1" s="7" t="inlineStr">
        <is>
          <t>Layer</t>
        </is>
      </c>
      <c r="B1" s="7" t="inlineStr">
        <is>
          <t>Type</t>
        </is>
      </c>
      <c r="C1" s="10" t="inlineStr">
        <is>
          <t>H</t>
        </is>
      </c>
      <c r="D1" s="10" t="inlineStr">
        <is>
          <t>W</t>
        </is>
      </c>
      <c r="E1" s="10" t="inlineStr">
        <is>
          <t>Cin</t>
        </is>
      </c>
      <c r="F1" s="1" t="inlineStr">
        <is>
          <t>Filter/Weight</t>
        </is>
      </c>
      <c r="G1" s="1" t="inlineStr">
        <is>
          <t>Cin</t>
        </is>
      </c>
      <c r="H1" s="1" t="inlineStr">
        <is>
          <t>Cout</t>
        </is>
      </c>
      <c r="I1" s="4" t="inlineStr">
        <is>
          <t>BN</t>
        </is>
      </c>
      <c r="J1" s="4" t="inlineStr">
        <is>
          <t>D</t>
        </is>
      </c>
      <c r="K1" s="4" t="inlineStr">
        <is>
          <t>None</t>
        </is>
      </c>
      <c r="L1" s="14" t="inlineStr">
        <is>
          <t>H</t>
        </is>
      </c>
      <c r="M1" s="14" t="inlineStr">
        <is>
          <t>W</t>
        </is>
      </c>
      <c r="N1" s="14" t="inlineStr">
        <is>
          <t>Cin</t>
        </is>
      </c>
      <c r="O1" s="4" t="inlineStr">
        <is>
          <t>Input 1 Memory(kB)</t>
        </is>
      </c>
      <c r="P1" s="4" t="inlineStr">
        <is>
          <t>Input 2 Memory(kB)</t>
        </is>
      </c>
      <c r="Q1" s="4" t="inlineStr">
        <is>
          <t>Input 3 Memory(kB)</t>
        </is>
      </c>
      <c r="R1" s="4" t="inlineStr">
        <is>
          <t>Output Memory(kB)</t>
        </is>
      </c>
      <c r="S1" s="4" t="inlineStr">
        <is>
          <t xml:space="preserve">Cycles </t>
        </is>
      </c>
      <c r="T1" s="4" t="inlineStr">
        <is>
          <t>Time[us]</t>
        </is>
      </c>
      <c r="U1" s="4" t="inlineStr">
        <is>
          <t>BW 1(Gbps)</t>
        </is>
      </c>
      <c r="V1" s="4" t="inlineStr">
        <is>
          <t>BW 2(Gbps)</t>
        </is>
      </c>
      <c r="W1" s="4" t="inlineStr">
        <is>
          <t>BW 3(Gbps)</t>
        </is>
      </c>
      <c r="X1" s="4" t="inlineStr">
        <is>
          <t>BW Out(Gbps)</t>
        </is>
      </c>
      <c r="Y1" s="19" t="inlineStr">
        <is>
          <t>freq Ghz</t>
        </is>
      </c>
      <c r="Z1" s="16" t="inlineStr">
        <is>
          <t>Mem BW Gbps</t>
        </is>
      </c>
    </row>
    <row r="2">
      <c r="A2" s="7" t="inlineStr">
        <is>
          <t>Input</t>
        </is>
      </c>
      <c r="B2" s="7" t="inlineStr">
        <is>
          <t>kpt+desc load</t>
        </is>
      </c>
      <c r="C2" s="11" t="n">
        <v>256</v>
      </c>
      <c r="D2" s="11" t="n">
        <v>512</v>
      </c>
      <c r="E2" s="11" t="n">
        <v>0</v>
      </c>
      <c r="F2" s="2" t="n">
        <v>0</v>
      </c>
      <c r="G2" s="2" t="n">
        <v>0</v>
      </c>
      <c r="H2" s="2" t="n">
        <v>0</v>
      </c>
      <c r="I2" s="3" t="n">
        <v>0</v>
      </c>
      <c r="J2" s="3" t="n">
        <v>0</v>
      </c>
      <c r="K2" s="3" t="n">
        <v>0</v>
      </c>
      <c r="L2" s="13" t="n">
        <v>256</v>
      </c>
      <c r="M2" s="13" t="n">
        <v>512</v>
      </c>
      <c r="N2" s="13" t="n">
        <v>0</v>
      </c>
      <c r="O2" s="3">
        <f>C2*D2/1024</f>
        <v/>
      </c>
      <c r="P2" s="3" t="n">
        <v>0</v>
      </c>
      <c r="Q2" s="3" t="n">
        <v>0</v>
      </c>
      <c r="R2" s="3">
        <f>L2*M2/1024</f>
        <v/>
      </c>
      <c r="S2" s="3" t="inlineStr">
        <is>
          <t>0</t>
        </is>
      </c>
      <c r="T2" s="3" t="n">
        <v>0</v>
      </c>
      <c r="U2" s="26" t="n">
        <v>0</v>
      </c>
      <c r="V2" s="26" t="n">
        <v>0</v>
      </c>
      <c r="W2" s="26" t="n">
        <v>0</v>
      </c>
      <c r="X2" s="26" t="n">
        <v>0</v>
      </c>
      <c r="Y2" t="n">
        <v>1</v>
      </c>
      <c r="Z2" t="n">
        <v>8</v>
      </c>
    </row>
    <row r="3">
      <c r="A3" s="7" t="inlineStr">
        <is>
          <t>KptEnc 3-&gt;32</t>
        </is>
      </c>
      <c r="B3" s="7" t="inlineStr">
        <is>
          <t>multiply</t>
        </is>
      </c>
      <c r="C3" s="11" t="n">
        <v>32</v>
      </c>
      <c r="D3" s="11" t="n">
        <v>512</v>
      </c>
      <c r="E3" s="11" t="n">
        <v>0</v>
      </c>
      <c r="F3" s="2" t="n">
        <v>0</v>
      </c>
      <c r="G3" s="2" t="n">
        <v>3</v>
      </c>
      <c r="H3" s="2" t="n">
        <v>0</v>
      </c>
      <c r="I3" s="3" t="n">
        <v>0</v>
      </c>
      <c r="J3" s="3" t="n">
        <v>0</v>
      </c>
      <c r="K3" s="3" t="n">
        <v>0</v>
      </c>
      <c r="L3" s="13" t="n">
        <v>32</v>
      </c>
      <c r="M3" s="13" t="n">
        <v>512</v>
      </c>
      <c r="N3" s="13" t="n">
        <v>0</v>
      </c>
      <c r="O3" s="3">
        <f>C3*D3/1024</f>
        <v/>
      </c>
      <c r="P3" s="3" t="n">
        <v>0</v>
      </c>
      <c r="Q3" s="3" t="n">
        <v>0</v>
      </c>
      <c r="R3" s="3">
        <f>L3*M3/1024</f>
        <v/>
      </c>
      <c r="S3" s="3">
        <f>C3*D3*G3/128</f>
        <v/>
      </c>
      <c r="T3" s="3">
        <f>(S3/$Y$2)/1000</f>
        <v/>
      </c>
      <c r="U3" s="26">
        <f>((O3*8*1024)/$T3)/1000</f>
        <v/>
      </c>
      <c r="V3" s="26">
        <f>((P3*8*1024)/$T3)/1000</f>
        <v/>
      </c>
      <c r="W3" s="26">
        <f>((Q3*8*1024)/$T3)/1000</f>
        <v/>
      </c>
      <c r="X3" s="26">
        <f>((R3*8*1024)/$T3)/1000</f>
        <v/>
      </c>
    </row>
    <row r="4">
      <c r="A4" s="7" t="inlineStr">
        <is>
          <t>KptEnc 3-&gt;32</t>
        </is>
      </c>
      <c r="B4" s="7" t="inlineStr">
        <is>
          <t>accumulate</t>
        </is>
      </c>
      <c r="C4" s="11" t="n">
        <v>32</v>
      </c>
      <c r="D4" s="11" t="n">
        <v>512</v>
      </c>
      <c r="E4" s="11" t="n">
        <v>0</v>
      </c>
      <c r="F4" s="2" t="n">
        <v>0</v>
      </c>
      <c r="G4" s="2" t="n">
        <v>3</v>
      </c>
      <c r="H4" s="2" t="n">
        <v>0</v>
      </c>
      <c r="I4" s="3" t="n">
        <v>0</v>
      </c>
      <c r="J4" s="3" t="n">
        <v>0</v>
      </c>
      <c r="K4" s="3" t="n">
        <v>0</v>
      </c>
      <c r="L4" s="13" t="n">
        <v>32</v>
      </c>
      <c r="M4" s="13" t="n">
        <v>512</v>
      </c>
      <c r="N4" s="13" t="n">
        <v>0</v>
      </c>
      <c r="O4" s="3">
        <f>C4*D4/1024</f>
        <v/>
      </c>
      <c r="P4" s="3" t="n">
        <v>0</v>
      </c>
      <c r="Q4" s="3" t="n">
        <v>0</v>
      </c>
      <c r="R4" s="3">
        <f>L4*M4/1024</f>
        <v/>
      </c>
      <c r="S4" s="3">
        <f>C4*D4*G4/128</f>
        <v/>
      </c>
      <c r="T4" s="3">
        <f>(S4/$Y$2)/1000</f>
        <v/>
      </c>
      <c r="U4" s="26">
        <f>((O4*8*1024)/$T4)/1000</f>
        <v/>
      </c>
      <c r="V4" s="26">
        <f>((P4*8*1024)/$T4)/1000</f>
        <v/>
      </c>
      <c r="W4" s="26">
        <f>((Q4*8*1024)/$T4)/1000</f>
        <v/>
      </c>
      <c r="X4" s="26">
        <f>((R4*8*1024)/$T4)/1000</f>
        <v/>
      </c>
    </row>
    <row r="5">
      <c r="A5" s="7" t="inlineStr">
        <is>
          <t>KptEnc 32-&gt;64</t>
        </is>
      </c>
      <c r="B5" s="7" t="inlineStr">
        <is>
          <t>multiply</t>
        </is>
      </c>
      <c r="C5" s="11" t="n">
        <v>64</v>
      </c>
      <c r="D5" s="11" t="n">
        <v>512</v>
      </c>
      <c r="E5" s="11" t="n">
        <v>0</v>
      </c>
      <c r="F5" s="2" t="n">
        <v>0</v>
      </c>
      <c r="G5" s="2" t="n">
        <v>32</v>
      </c>
      <c r="H5" s="2" t="n">
        <v>0</v>
      </c>
      <c r="I5" s="3" t="n">
        <v>0</v>
      </c>
      <c r="J5" s="3" t="n">
        <v>0</v>
      </c>
      <c r="K5" s="3" t="n">
        <v>0</v>
      </c>
      <c r="L5" s="13" t="n">
        <v>64</v>
      </c>
      <c r="M5" s="13" t="n">
        <v>512</v>
      </c>
      <c r="N5" s="13" t="n">
        <v>0</v>
      </c>
      <c r="O5" s="3">
        <f>C5*D5/1024</f>
        <v/>
      </c>
      <c r="P5" s="3" t="n">
        <v>0</v>
      </c>
      <c r="Q5" s="3" t="n">
        <v>0</v>
      </c>
      <c r="R5" s="3">
        <f>L5*M5/1024</f>
        <v/>
      </c>
      <c r="S5" s="3">
        <f>C5*D5*G5/128</f>
        <v/>
      </c>
      <c r="T5" s="3">
        <f>(S5/$Y$2)/1000</f>
        <v/>
      </c>
      <c r="U5" s="26">
        <f>((O5*8*1024)/$T5)/1000</f>
        <v/>
      </c>
      <c r="V5" s="26">
        <f>((P5*8*1024)/$T5)/1000</f>
        <v/>
      </c>
      <c r="W5" s="26">
        <f>((Q5*8*1024)/$T5)/1000</f>
        <v/>
      </c>
      <c r="X5" s="26">
        <f>((R5*8*1024)/$T5)/1000</f>
        <v/>
      </c>
    </row>
    <row r="6">
      <c r="A6" s="7" t="inlineStr">
        <is>
          <t>KptEnc 32-&gt;64</t>
        </is>
      </c>
      <c r="B6" s="7" t="inlineStr">
        <is>
          <t>accumulate</t>
        </is>
      </c>
      <c r="C6" s="11" t="n">
        <v>64</v>
      </c>
      <c r="D6" s="11" t="n">
        <v>512</v>
      </c>
      <c r="E6" s="11" t="n">
        <v>0</v>
      </c>
      <c r="F6" s="2" t="n">
        <v>0</v>
      </c>
      <c r="G6" s="2" t="n">
        <v>32</v>
      </c>
      <c r="H6" s="2" t="n">
        <v>0</v>
      </c>
      <c r="I6" s="3" t="n">
        <v>0</v>
      </c>
      <c r="J6" s="3" t="n">
        <v>0</v>
      </c>
      <c r="K6" s="3" t="n">
        <v>0</v>
      </c>
      <c r="L6" s="13" t="n">
        <v>64</v>
      </c>
      <c r="M6" s="13" t="n">
        <v>512</v>
      </c>
      <c r="N6" s="13" t="n">
        <v>0</v>
      </c>
      <c r="O6" s="3">
        <f>C6*D6/1024</f>
        <v/>
      </c>
      <c r="P6" s="3" t="n">
        <v>0</v>
      </c>
      <c r="Q6" s="3" t="n">
        <v>0</v>
      </c>
      <c r="R6" s="3">
        <f>L6*M6/1024</f>
        <v/>
      </c>
      <c r="S6" s="3">
        <f>C6*D6*G6/128</f>
        <v/>
      </c>
      <c r="T6" s="3">
        <f>(S6/$Y$2)/1000</f>
        <v/>
      </c>
      <c r="U6" s="26">
        <f>((O6*8*1024)/$T6)/1000</f>
        <v/>
      </c>
      <c r="V6" s="26">
        <f>((P6*8*1024)/$T6)/1000</f>
        <v/>
      </c>
      <c r="W6" s="26">
        <f>((Q6*8*1024)/$T6)/1000</f>
        <v/>
      </c>
      <c r="X6" s="26">
        <f>((R6*8*1024)/$T6)/1000</f>
        <v/>
      </c>
    </row>
    <row r="7">
      <c r="A7" s="7" t="inlineStr">
        <is>
          <t>KptEnc 64-&gt;128</t>
        </is>
      </c>
      <c r="B7" s="7" t="inlineStr">
        <is>
          <t>multiply</t>
        </is>
      </c>
      <c r="C7" s="11" t="n">
        <v>128</v>
      </c>
      <c r="D7" s="11" t="n">
        <v>512</v>
      </c>
      <c r="E7" s="11" t="n">
        <v>0</v>
      </c>
      <c r="F7" s="2" t="n">
        <v>0</v>
      </c>
      <c r="G7" s="2" t="n">
        <v>64</v>
      </c>
      <c r="H7" s="2" t="n">
        <v>0</v>
      </c>
      <c r="I7" s="3" t="n">
        <v>0</v>
      </c>
      <c r="J7" s="3" t="n">
        <v>0</v>
      </c>
      <c r="K7" s="3" t="n">
        <v>0</v>
      </c>
      <c r="L7" s="13" t="n">
        <v>128</v>
      </c>
      <c r="M7" s="13" t="n">
        <v>512</v>
      </c>
      <c r="N7" s="13" t="n">
        <v>0</v>
      </c>
      <c r="O7" s="3">
        <f>C7*D7/1024</f>
        <v/>
      </c>
      <c r="P7" s="3" t="n">
        <v>0</v>
      </c>
      <c r="Q7" s="3" t="n">
        <v>0</v>
      </c>
      <c r="R7" s="3">
        <f>L7*M7/1024</f>
        <v/>
      </c>
      <c r="S7" s="3">
        <f>C7*D7*G7/128</f>
        <v/>
      </c>
      <c r="T7" s="3">
        <f>(S7/$Y$2)/1000</f>
        <v/>
      </c>
      <c r="U7" s="26">
        <f>((O7*8*1024)/$T7)/1000</f>
        <v/>
      </c>
      <c r="V7" s="26">
        <f>((P7*8*1024)/$T7)/1000</f>
        <v/>
      </c>
      <c r="W7" s="26">
        <f>((Q7*8*1024)/$T7)/1000</f>
        <v/>
      </c>
      <c r="X7" s="26">
        <f>((R7*8*1024)/$T7)/1000</f>
        <v/>
      </c>
    </row>
    <row r="8">
      <c r="A8" s="7" t="inlineStr">
        <is>
          <t>KptEnc 64-&gt;128</t>
        </is>
      </c>
      <c r="B8" s="7" t="inlineStr">
        <is>
          <t>accumulate</t>
        </is>
      </c>
      <c r="C8" s="11" t="n">
        <v>128</v>
      </c>
      <c r="D8" s="11" t="n">
        <v>512</v>
      </c>
      <c r="E8" s="11" t="n">
        <v>0</v>
      </c>
      <c r="F8" s="2" t="n">
        <v>0</v>
      </c>
      <c r="G8" s="2" t="n">
        <v>64</v>
      </c>
      <c r="H8" s="2" t="n">
        <v>0</v>
      </c>
      <c r="I8" s="3" t="n">
        <v>0</v>
      </c>
      <c r="J8" s="3" t="n">
        <v>0</v>
      </c>
      <c r="K8" s="3" t="n">
        <v>0</v>
      </c>
      <c r="L8" s="13" t="n">
        <v>128</v>
      </c>
      <c r="M8" s="13" t="n">
        <v>512</v>
      </c>
      <c r="N8" s="13" t="n">
        <v>0</v>
      </c>
      <c r="O8" s="3">
        <f>C8*D8/1024</f>
        <v/>
      </c>
      <c r="P8" s="3" t="n">
        <v>0</v>
      </c>
      <c r="Q8" s="3" t="n">
        <v>0</v>
      </c>
      <c r="R8" s="3">
        <f>L8*M8/1024</f>
        <v/>
      </c>
      <c r="S8" s="3">
        <f>C8*D8*G8/128</f>
        <v/>
      </c>
      <c r="T8" s="3">
        <f>(S8/$Y$2)/1000</f>
        <v/>
      </c>
      <c r="U8" s="26">
        <f>((O8*8*1024)/$T8)/1000</f>
        <v/>
      </c>
      <c r="V8" s="26">
        <f>((P8*8*1024)/$T8)/1000</f>
        <v/>
      </c>
      <c r="W8" s="26">
        <f>((Q8*8*1024)/$T8)/1000</f>
        <v/>
      </c>
      <c r="X8" s="26">
        <f>((R8*8*1024)/$T8)/1000</f>
        <v/>
      </c>
    </row>
    <row r="9">
      <c r="A9" s="7" t="inlineStr">
        <is>
          <t>KptEnc 128-&gt;256</t>
        </is>
      </c>
      <c r="B9" s="7" t="inlineStr">
        <is>
          <t>multiply</t>
        </is>
      </c>
      <c r="C9" s="11" t="n">
        <v>256</v>
      </c>
      <c r="D9" s="11" t="n">
        <v>512</v>
      </c>
      <c r="E9" s="11" t="n">
        <v>0</v>
      </c>
      <c r="F9" s="2" t="n">
        <v>0</v>
      </c>
      <c r="G9" s="2" t="n">
        <v>128</v>
      </c>
      <c r="H9" s="2" t="n">
        <v>0</v>
      </c>
      <c r="I9" s="3" t="n">
        <v>0</v>
      </c>
      <c r="J9" s="3" t="n">
        <v>0</v>
      </c>
      <c r="K9" s="3" t="n">
        <v>0</v>
      </c>
      <c r="L9" s="13" t="n">
        <v>256</v>
      </c>
      <c r="M9" s="13" t="n">
        <v>512</v>
      </c>
      <c r="N9" s="13" t="n">
        <v>0</v>
      </c>
      <c r="O9" s="3">
        <f>C9*D9/1024</f>
        <v/>
      </c>
      <c r="P9" s="3" t="n">
        <v>0</v>
      </c>
      <c r="Q9" s="3" t="n">
        <v>0</v>
      </c>
      <c r="R9" s="3">
        <f>L9*M9/1024</f>
        <v/>
      </c>
      <c r="S9" s="3">
        <f>C9*D9*G9/128</f>
        <v/>
      </c>
      <c r="T9" s="3">
        <f>(S9/$Y$2)/1000</f>
        <v/>
      </c>
      <c r="U9" s="26">
        <f>((O9*8*1024)/$T9)/1000</f>
        <v/>
      </c>
      <c r="V9" s="26">
        <f>((P9*8*1024)/$T9)/1000</f>
        <v/>
      </c>
      <c r="W9" s="26">
        <f>((Q9*8*1024)/$T9)/1000</f>
        <v/>
      </c>
      <c r="X9" s="26">
        <f>((R9*8*1024)/$T9)/1000</f>
        <v/>
      </c>
    </row>
    <row r="10">
      <c r="A10" s="7" t="inlineStr">
        <is>
          <t>KptEnc 128-&gt;256</t>
        </is>
      </c>
      <c r="B10" s="7" t="inlineStr">
        <is>
          <t>accumulate</t>
        </is>
      </c>
      <c r="C10" s="11" t="n">
        <v>256</v>
      </c>
      <c r="D10" s="11" t="n">
        <v>512</v>
      </c>
      <c r="E10" s="11" t="n">
        <v>0</v>
      </c>
      <c r="F10" s="2" t="n">
        <v>0</v>
      </c>
      <c r="G10" s="2" t="n">
        <v>128</v>
      </c>
      <c r="H10" s="2" t="n">
        <v>0</v>
      </c>
      <c r="I10" s="3" t="n">
        <v>0</v>
      </c>
      <c r="J10" s="3" t="n">
        <v>0</v>
      </c>
      <c r="K10" s="3" t="n">
        <v>0</v>
      </c>
      <c r="L10" s="13" t="n">
        <v>256</v>
      </c>
      <c r="M10" s="13" t="n">
        <v>512</v>
      </c>
      <c r="N10" s="13" t="n">
        <v>0</v>
      </c>
      <c r="O10" s="3">
        <f>C10*D10/1024</f>
        <v/>
      </c>
      <c r="P10" s="3" t="n">
        <v>0</v>
      </c>
      <c r="Q10" s="3" t="n">
        <v>0</v>
      </c>
      <c r="R10" s="3">
        <f>L10*M10/1024</f>
        <v/>
      </c>
      <c r="S10" s="3">
        <f>C10*D10*G10/128</f>
        <v/>
      </c>
      <c r="T10" s="3">
        <f>(S10/$Y$2)/1000</f>
        <v/>
      </c>
      <c r="U10" s="26">
        <f>((O10*8*1024)/$T10)/1000</f>
        <v/>
      </c>
      <c r="V10" s="26">
        <f>((P10*8*1024)/$T10)/1000</f>
        <v/>
      </c>
      <c r="W10" s="26">
        <f>((Q10*8*1024)/$T10)/1000</f>
        <v/>
      </c>
      <c r="X10" s="26">
        <f>((R10*8*1024)/$T10)/1000</f>
        <v/>
      </c>
    </row>
    <row r="11">
      <c r="A11" s="7" t="inlineStr">
        <is>
          <t>Residual desc+=enc</t>
        </is>
      </c>
      <c r="B11" s="7" t="inlineStr">
        <is>
          <t>add</t>
        </is>
      </c>
      <c r="C11" s="11" t="n">
        <v>256</v>
      </c>
      <c r="D11" s="11" t="n">
        <v>512</v>
      </c>
      <c r="E11" s="11" t="n">
        <v>0</v>
      </c>
      <c r="F11" s="2" t="n">
        <v>0</v>
      </c>
      <c r="G11" s="2" t="n">
        <v>0</v>
      </c>
      <c r="H11" s="2" t="n">
        <v>0</v>
      </c>
      <c r="I11" s="3" t="n">
        <v>0</v>
      </c>
      <c r="J11" s="3" t="n">
        <v>0</v>
      </c>
      <c r="K11" s="3" t="n">
        <v>0</v>
      </c>
      <c r="L11" s="13" t="n">
        <v>256</v>
      </c>
      <c r="M11" s="13" t="n">
        <v>512</v>
      </c>
      <c r="N11" s="13" t="n">
        <v>0</v>
      </c>
      <c r="O11" s="3">
        <f>C11*D11/1024</f>
        <v/>
      </c>
      <c r="P11" s="3" t="n">
        <v>0</v>
      </c>
      <c r="Q11" s="3" t="n">
        <v>0</v>
      </c>
      <c r="R11" s="3">
        <f>L11*M11/1024</f>
        <v/>
      </c>
      <c r="S11" s="3">
        <f>C11*D11/128</f>
        <v/>
      </c>
      <c r="T11" s="3">
        <f>(S11/$Y$2)/1000</f>
        <v/>
      </c>
      <c r="U11" s="26">
        <f>((O11*8*1024)/$T11)/1000</f>
        <v/>
      </c>
      <c r="V11" s="26">
        <f>((P11*8*1024)/$T11)/1000</f>
        <v/>
      </c>
      <c r="W11" s="26">
        <f>((Q11*8*1024)/$T11)/1000</f>
        <v/>
      </c>
      <c r="X11" s="26">
        <f>((R11*8*1024)/$T11)/1000</f>
        <v/>
      </c>
      <c r="Y11" s="17" t="inlineStr">
        <is>
          <t>Encoder total [us] -&gt;</t>
        </is>
      </c>
      <c r="Z11" s="17">
        <f>2*(SUM(T3:T11))</f>
        <v/>
      </c>
    </row>
    <row r="12">
      <c r="A12" s="7" t="inlineStr">
        <is>
          <t>Q proj D-&gt;D</t>
        </is>
      </c>
      <c r="B12" s="7" t="inlineStr">
        <is>
          <t>multiply</t>
        </is>
      </c>
      <c r="C12" s="11" t="n">
        <v>256</v>
      </c>
      <c r="D12" s="11" t="n">
        <v>512</v>
      </c>
      <c r="E12" s="11" t="n">
        <v>0</v>
      </c>
      <c r="F12" s="2" t="n">
        <v>0</v>
      </c>
      <c r="G12" s="2" t="n">
        <v>256</v>
      </c>
      <c r="H12" s="2" t="n">
        <v>0</v>
      </c>
      <c r="I12" s="3" t="n">
        <v>0</v>
      </c>
      <c r="J12" s="3" t="n">
        <v>0</v>
      </c>
      <c r="K12" s="3" t="n">
        <v>0</v>
      </c>
      <c r="L12" s="13" t="n">
        <v>256</v>
      </c>
      <c r="M12" s="13" t="n">
        <v>512</v>
      </c>
      <c r="N12" s="13" t="n">
        <v>0</v>
      </c>
      <c r="O12" s="3">
        <f>C12*D12/1024</f>
        <v/>
      </c>
      <c r="P12" s="3" t="n">
        <v>0</v>
      </c>
      <c r="Q12" s="3" t="n">
        <v>0</v>
      </c>
      <c r="R12" s="3">
        <f>L12*M12/1024</f>
        <v/>
      </c>
      <c r="S12" s="3">
        <f>C12*D12*G12/128</f>
        <v/>
      </c>
      <c r="T12" s="3">
        <f>(S12/$Y$2)/1000</f>
        <v/>
      </c>
      <c r="U12" s="26">
        <f>((O12*8*1024)/$T12)/1000</f>
        <v/>
      </c>
      <c r="V12" s="26">
        <f>((P12*8*1024)/$T12)/1000</f>
        <v/>
      </c>
      <c r="W12" s="26">
        <f>((Q12*8*1024)/$T12)/1000</f>
        <v/>
      </c>
      <c r="X12" s="26">
        <f>((R12*8*1024)/$T12)/1000</f>
        <v/>
      </c>
    </row>
    <row r="13">
      <c r="A13" s="7" t="inlineStr">
        <is>
          <t>Q proj D-&gt;D</t>
        </is>
      </c>
      <c r="B13" s="7" t="inlineStr">
        <is>
          <t>accumulate</t>
        </is>
      </c>
      <c r="C13" s="11" t="n">
        <v>256</v>
      </c>
      <c r="D13" s="11" t="n">
        <v>512</v>
      </c>
      <c r="E13" s="11" t="n">
        <v>0</v>
      </c>
      <c r="F13" s="2" t="n">
        <v>0</v>
      </c>
      <c r="G13" s="2" t="n">
        <v>256</v>
      </c>
      <c r="H13" s="2" t="n">
        <v>0</v>
      </c>
      <c r="I13" s="3" t="n">
        <v>0</v>
      </c>
      <c r="J13" s="3" t="n">
        <v>0</v>
      </c>
      <c r="K13" s="3" t="n">
        <v>0</v>
      </c>
      <c r="L13" s="13" t="n">
        <v>256</v>
      </c>
      <c r="M13" s="13" t="n">
        <v>512</v>
      </c>
      <c r="N13" s="13" t="n">
        <v>0</v>
      </c>
      <c r="O13" s="3">
        <f>C13*D13/1024</f>
        <v/>
      </c>
      <c r="P13" s="3" t="n">
        <v>0</v>
      </c>
      <c r="Q13" s="3" t="n">
        <v>0</v>
      </c>
      <c r="R13" s="3">
        <f>L13*M13/1024</f>
        <v/>
      </c>
      <c r="S13" s="3">
        <f>C13*D13*G13/128</f>
        <v/>
      </c>
      <c r="T13" s="3">
        <f>(S13/$Y$2)/1000</f>
        <v/>
      </c>
      <c r="U13" s="26">
        <f>((O13*8*1024)/$T13)/1000</f>
        <v/>
      </c>
      <c r="V13" s="26">
        <f>((P13*8*1024)/$T13)/1000</f>
        <v/>
      </c>
      <c r="W13" s="26">
        <f>((Q13*8*1024)/$T13)/1000</f>
        <v/>
      </c>
      <c r="X13" s="26">
        <f>((R13*8*1024)/$T13)/1000</f>
        <v/>
      </c>
    </row>
    <row r="14">
      <c r="A14" s="7" t="inlineStr">
        <is>
          <t>K proj D-&gt;D</t>
        </is>
      </c>
      <c r="B14" s="7" t="inlineStr">
        <is>
          <t>multiply</t>
        </is>
      </c>
      <c r="C14" s="11" t="n">
        <v>256</v>
      </c>
      <c r="D14" s="11" t="n">
        <v>512</v>
      </c>
      <c r="E14" s="11" t="n">
        <v>0</v>
      </c>
      <c r="F14" s="2" t="n">
        <v>0</v>
      </c>
      <c r="G14" s="2" t="n">
        <v>256</v>
      </c>
      <c r="H14" s="2" t="n">
        <v>0</v>
      </c>
      <c r="I14" s="3" t="n">
        <v>0</v>
      </c>
      <c r="J14" s="3" t="n">
        <v>0</v>
      </c>
      <c r="K14" s="3" t="n">
        <v>0</v>
      </c>
      <c r="L14" s="13" t="n">
        <v>256</v>
      </c>
      <c r="M14" s="13" t="n">
        <v>512</v>
      </c>
      <c r="N14" s="13" t="n">
        <v>0</v>
      </c>
      <c r="O14" s="3">
        <f>C14*D14/1024</f>
        <v/>
      </c>
      <c r="P14" s="3" t="n">
        <v>0</v>
      </c>
      <c r="Q14" s="3" t="n">
        <v>0</v>
      </c>
      <c r="R14" s="3">
        <f>L14*M14/1024</f>
        <v/>
      </c>
      <c r="S14" s="3">
        <f>C14*D14*G14/128</f>
        <v/>
      </c>
      <c r="T14" s="3">
        <f>(S14/$Y$2)/1000</f>
        <v/>
      </c>
      <c r="U14" s="26">
        <f>((O14*8*1024)/$T14)/1000</f>
        <v/>
      </c>
      <c r="V14" s="26">
        <f>((P14*8*1024)/$T14)/1000</f>
        <v/>
      </c>
      <c r="W14" s="26">
        <f>((Q14*8*1024)/$T14)/1000</f>
        <v/>
      </c>
      <c r="X14" s="26">
        <f>((R14*8*1024)/$T14)/1000</f>
        <v/>
      </c>
    </row>
    <row r="15">
      <c r="A15" s="7" t="inlineStr">
        <is>
          <t>K proj D-&gt;D</t>
        </is>
      </c>
      <c r="B15" s="7" t="inlineStr">
        <is>
          <t>accumulate</t>
        </is>
      </c>
      <c r="C15" s="11" t="n">
        <v>256</v>
      </c>
      <c r="D15" s="11" t="n">
        <v>512</v>
      </c>
      <c r="E15" s="11" t="n">
        <v>0</v>
      </c>
      <c r="F15" s="2" t="n">
        <v>0</v>
      </c>
      <c r="G15" s="2" t="n">
        <v>256</v>
      </c>
      <c r="H15" s="2" t="n">
        <v>0</v>
      </c>
      <c r="I15" s="3" t="n">
        <v>0</v>
      </c>
      <c r="J15" s="3" t="n">
        <v>0</v>
      </c>
      <c r="K15" s="3" t="n">
        <v>0</v>
      </c>
      <c r="L15" s="13" t="n">
        <v>256</v>
      </c>
      <c r="M15" s="13" t="n">
        <v>512</v>
      </c>
      <c r="N15" s="13" t="n">
        <v>0</v>
      </c>
      <c r="O15" s="3">
        <f>C15*D15/1024</f>
        <v/>
      </c>
      <c r="P15" s="3" t="n">
        <v>0</v>
      </c>
      <c r="Q15" s="3" t="n">
        <v>0</v>
      </c>
      <c r="R15" s="3">
        <f>L15*M15/1024</f>
        <v/>
      </c>
      <c r="S15" s="3">
        <f>C15*D15*G15/128</f>
        <v/>
      </c>
      <c r="T15" s="3">
        <f>(S15/$Y$2)/1000</f>
        <v/>
      </c>
      <c r="U15" s="26">
        <f>((O15*8*1024)/$T15)/1000</f>
        <v/>
      </c>
      <c r="V15" s="26">
        <f>((P15*8*1024)/$T15)/1000</f>
        <v/>
      </c>
      <c r="W15" s="26">
        <f>((Q15*8*1024)/$T15)/1000</f>
        <v/>
      </c>
      <c r="X15" s="26">
        <f>((R15*8*1024)/$T15)/1000</f>
        <v/>
      </c>
    </row>
    <row r="16">
      <c r="A16" s="7" t="inlineStr">
        <is>
          <t>V proj D-&gt;D</t>
        </is>
      </c>
      <c r="B16" s="7" t="inlineStr">
        <is>
          <t>multiply</t>
        </is>
      </c>
      <c r="C16" s="11" t="n">
        <v>256</v>
      </c>
      <c r="D16" s="11" t="n">
        <v>512</v>
      </c>
      <c r="E16" s="11" t="n">
        <v>0</v>
      </c>
      <c r="F16" s="2" t="n">
        <v>0</v>
      </c>
      <c r="G16" s="2" t="n">
        <v>256</v>
      </c>
      <c r="H16" s="2" t="n">
        <v>0</v>
      </c>
      <c r="I16" s="3" t="n">
        <v>0</v>
      </c>
      <c r="J16" s="3" t="n">
        <v>0</v>
      </c>
      <c r="K16" s="3" t="n">
        <v>0</v>
      </c>
      <c r="L16" s="13" t="n">
        <v>256</v>
      </c>
      <c r="M16" s="13" t="n">
        <v>512</v>
      </c>
      <c r="N16" s="13" t="n">
        <v>0</v>
      </c>
      <c r="O16" s="3">
        <f>C16*D16/1024</f>
        <v/>
      </c>
      <c r="P16" s="3" t="n">
        <v>0</v>
      </c>
      <c r="Q16" s="3" t="n">
        <v>0</v>
      </c>
      <c r="R16" s="3">
        <f>L16*M16/1024</f>
        <v/>
      </c>
      <c r="S16" s="3">
        <f>C16*D16*G16/128</f>
        <v/>
      </c>
      <c r="T16" s="3">
        <f>(S16/$Y$2)/1000</f>
        <v/>
      </c>
      <c r="U16" s="26">
        <f>((O16*8*1024)/$T16)/1000</f>
        <v/>
      </c>
      <c r="V16" s="26">
        <f>((P16*8*1024)/$T16)/1000</f>
        <v/>
      </c>
      <c r="W16" s="26">
        <f>((Q16*8*1024)/$T16)/1000</f>
        <v/>
      </c>
      <c r="X16" s="26">
        <f>((R16*8*1024)/$T16)/1000</f>
        <v/>
      </c>
    </row>
    <row r="17">
      <c r="A17" s="7" t="inlineStr">
        <is>
          <t>V proj D-&gt;D</t>
        </is>
      </c>
      <c r="B17" s="7" t="inlineStr">
        <is>
          <t>accumulate</t>
        </is>
      </c>
      <c r="C17" s="11" t="n">
        <v>256</v>
      </c>
      <c r="D17" s="11" t="n">
        <v>512</v>
      </c>
      <c r="E17" s="11" t="n">
        <v>0</v>
      </c>
      <c r="F17" s="2" t="n">
        <v>0</v>
      </c>
      <c r="G17" s="2" t="n">
        <v>256</v>
      </c>
      <c r="H17" s="2" t="n">
        <v>0</v>
      </c>
      <c r="I17" s="3" t="n">
        <v>0</v>
      </c>
      <c r="J17" s="3" t="n">
        <v>0</v>
      </c>
      <c r="K17" s="3" t="n">
        <v>0</v>
      </c>
      <c r="L17" s="13" t="n">
        <v>256</v>
      </c>
      <c r="M17" s="13" t="n">
        <v>512</v>
      </c>
      <c r="N17" s="13" t="n">
        <v>0</v>
      </c>
      <c r="O17" s="3">
        <f>C17*D17/1024</f>
        <v/>
      </c>
      <c r="P17" s="3" t="n">
        <v>0</v>
      </c>
      <c r="Q17" s="3" t="n">
        <v>0</v>
      </c>
      <c r="R17" s="3">
        <f>L17*M17/1024</f>
        <v/>
      </c>
      <c r="S17" s="3">
        <f>C17*D17*G17/128</f>
        <v/>
      </c>
      <c r="T17" s="3">
        <f>(S17/$Y$2)/1000</f>
        <v/>
      </c>
      <c r="U17" s="26">
        <f>((O17*8*1024)/$T17)/1000</f>
        <v/>
      </c>
      <c r="V17" s="26">
        <f>((P17*8*1024)/$T17)/1000</f>
        <v/>
      </c>
      <c r="W17" s="26">
        <f>((Q17*8*1024)/$T17)/1000</f>
        <v/>
      </c>
      <c r="X17" s="26">
        <f>((R17*8*1024)/$T17)/1000</f>
        <v/>
      </c>
    </row>
    <row r="18">
      <c r="A18" s="7" t="inlineStr">
        <is>
          <t>head reshape Q</t>
        </is>
      </c>
      <c r="B18" s="7" t="inlineStr">
        <is>
          <t>reshape</t>
        </is>
      </c>
      <c r="C18" s="11" t="n">
        <v>64</v>
      </c>
      <c r="D18" s="11" t="n">
        <v>512</v>
      </c>
      <c r="E18" s="11" t="n">
        <v>0</v>
      </c>
      <c r="F18" s="2" t="n">
        <v>0</v>
      </c>
      <c r="G18" s="2" t="n">
        <v>0</v>
      </c>
      <c r="H18" s="2" t="n">
        <v>0</v>
      </c>
      <c r="I18" s="3" t="n">
        <v>0</v>
      </c>
      <c r="J18" s="3" t="n">
        <v>0</v>
      </c>
      <c r="K18" s="3" t="n">
        <v>0</v>
      </c>
      <c r="L18" s="13" t="n">
        <v>64</v>
      </c>
      <c r="M18" s="13" t="n">
        <v>512</v>
      </c>
      <c r="N18" s="13" t="n">
        <v>0</v>
      </c>
      <c r="O18" s="3">
        <f>C18*D18/1024</f>
        <v/>
      </c>
      <c r="P18" s="3" t="n">
        <v>0</v>
      </c>
      <c r="Q18" s="3" t="n">
        <v>0</v>
      </c>
      <c r="R18" s="3">
        <f>L18*M18/1024</f>
        <v/>
      </c>
      <c r="S18" s="3" t="inlineStr">
        <is>
          <t>0</t>
        </is>
      </c>
      <c r="T18" s="3" t="n">
        <v>0</v>
      </c>
      <c r="U18" s="26" t="n">
        <v>0</v>
      </c>
      <c r="V18" s="26" t="n">
        <v>0</v>
      </c>
      <c r="W18" s="26" t="n">
        <v>0</v>
      </c>
      <c r="X18" s="26" t="n">
        <v>0</v>
      </c>
    </row>
    <row r="19">
      <c r="A19" s="7" t="inlineStr">
        <is>
          <t>head reshape K</t>
        </is>
      </c>
      <c r="B19" s="7" t="inlineStr">
        <is>
          <t>reshape</t>
        </is>
      </c>
      <c r="C19" s="11" t="n">
        <v>64</v>
      </c>
      <c r="D19" s="11" t="n">
        <v>512</v>
      </c>
      <c r="E19" s="11" t="n">
        <v>0</v>
      </c>
      <c r="F19" s="2" t="n">
        <v>0</v>
      </c>
      <c r="G19" s="2" t="n">
        <v>0</v>
      </c>
      <c r="H19" s="2" t="n">
        <v>0</v>
      </c>
      <c r="I19" s="3" t="n">
        <v>0</v>
      </c>
      <c r="J19" s="3" t="n">
        <v>0</v>
      </c>
      <c r="K19" s="3" t="n">
        <v>0</v>
      </c>
      <c r="L19" s="13" t="n">
        <v>64</v>
      </c>
      <c r="M19" s="13" t="n">
        <v>512</v>
      </c>
      <c r="N19" s="13" t="n">
        <v>0</v>
      </c>
      <c r="O19" s="3">
        <f>C19*D19/1024</f>
        <v/>
      </c>
      <c r="P19" s="3" t="n">
        <v>0</v>
      </c>
      <c r="Q19" s="3" t="n">
        <v>0</v>
      </c>
      <c r="R19" s="3">
        <f>L19*M19/1024</f>
        <v/>
      </c>
      <c r="S19" s="3" t="inlineStr">
        <is>
          <t>0</t>
        </is>
      </c>
      <c r="T19" s="3" t="n">
        <v>0</v>
      </c>
      <c r="U19" s="26" t="n">
        <v>0</v>
      </c>
      <c r="V19" s="26" t="n">
        <v>0</v>
      </c>
      <c r="W19" s="26" t="n">
        <v>0</v>
      </c>
      <c r="X19" s="26" t="n">
        <v>0</v>
      </c>
    </row>
    <row r="20">
      <c r="A20" s="7" t="inlineStr">
        <is>
          <t>head reshape V</t>
        </is>
      </c>
      <c r="B20" s="7" t="inlineStr">
        <is>
          <t>reshape</t>
        </is>
      </c>
      <c r="C20" s="11" t="n">
        <v>64</v>
      </c>
      <c r="D20" s="11" t="n">
        <v>512</v>
      </c>
      <c r="E20" s="11" t="n">
        <v>0</v>
      </c>
      <c r="F20" s="2" t="n">
        <v>0</v>
      </c>
      <c r="G20" s="2" t="n">
        <v>0</v>
      </c>
      <c r="H20" s="2" t="n">
        <v>0</v>
      </c>
      <c r="I20" s="3" t="n">
        <v>0</v>
      </c>
      <c r="J20" s="3" t="n">
        <v>0</v>
      </c>
      <c r="K20" s="3" t="n">
        <v>0</v>
      </c>
      <c r="L20" s="13" t="n">
        <v>64</v>
      </c>
      <c r="M20" s="13" t="n">
        <v>512</v>
      </c>
      <c r="N20" s="13" t="n">
        <v>0</v>
      </c>
      <c r="O20" s="3">
        <f>C20*D20/1024</f>
        <v/>
      </c>
      <c r="P20" s="3" t="n">
        <v>0</v>
      </c>
      <c r="Q20" s="3" t="n">
        <v>0</v>
      </c>
      <c r="R20" s="3">
        <f>L20*M20/1024</f>
        <v/>
      </c>
      <c r="S20" s="3" t="inlineStr">
        <is>
          <t>0</t>
        </is>
      </c>
      <c r="T20" s="3" t="n">
        <v>0</v>
      </c>
      <c r="U20" s="26" t="n">
        <v>0</v>
      </c>
      <c r="V20" s="26" t="n">
        <v>0</v>
      </c>
      <c r="W20" s="26" t="n">
        <v>0</v>
      </c>
      <c r="X20" s="26" t="n">
        <v>0</v>
      </c>
    </row>
    <row r="21">
      <c r="A21" s="7" t="inlineStr">
        <is>
          <t>QKt (1 head)</t>
        </is>
      </c>
      <c r="B21" s="7" t="inlineStr">
        <is>
          <t>multiply</t>
        </is>
      </c>
      <c r="C21" s="11" t="n">
        <v>512</v>
      </c>
      <c r="D21" s="11" t="n">
        <v>512</v>
      </c>
      <c r="E21" s="11" t="n">
        <v>0</v>
      </c>
      <c r="F21" s="2" t="n">
        <v>0</v>
      </c>
      <c r="G21" s="2" t="n">
        <v>64</v>
      </c>
      <c r="H21" s="2" t="n">
        <v>0</v>
      </c>
      <c r="I21" s="3" t="n">
        <v>0</v>
      </c>
      <c r="J21" s="3" t="n">
        <v>0</v>
      </c>
      <c r="K21" s="3" t="n">
        <v>0</v>
      </c>
      <c r="L21" s="13" t="n">
        <v>512</v>
      </c>
      <c r="M21" s="13" t="n">
        <v>512</v>
      </c>
      <c r="N21" s="13" t="n">
        <v>0</v>
      </c>
      <c r="O21" s="3">
        <f>C21*D21/1024</f>
        <v/>
      </c>
      <c r="P21" s="3" t="n">
        <v>0</v>
      </c>
      <c r="Q21" s="3" t="n">
        <v>0</v>
      </c>
      <c r="R21" s="3">
        <f>L21*M21/1024</f>
        <v/>
      </c>
      <c r="S21" s="3">
        <f>C21*D21*G21/128</f>
        <v/>
      </c>
      <c r="T21" s="3">
        <f>(S21/$Y$2)/1000</f>
        <v/>
      </c>
      <c r="U21" s="26">
        <f>((O21*8*1024)/$T21)/1000</f>
        <v/>
      </c>
      <c r="V21" s="26">
        <f>((P21*8*1024)/$T21)/1000</f>
        <v/>
      </c>
      <c r="W21" s="26">
        <f>((Q21*8*1024)/$T21)/1000</f>
        <v/>
      </c>
      <c r="X21" s="26">
        <f>((R21*8*1024)/$T21)/1000</f>
        <v/>
      </c>
    </row>
    <row r="22">
      <c r="A22" s="7" t="inlineStr">
        <is>
          <t>QKt (1 head)</t>
        </is>
      </c>
      <c r="B22" s="7" t="inlineStr">
        <is>
          <t>accumulate</t>
        </is>
      </c>
      <c r="C22" s="11" t="n">
        <v>512</v>
      </c>
      <c r="D22" s="11" t="n">
        <v>512</v>
      </c>
      <c r="E22" s="11" t="n">
        <v>0</v>
      </c>
      <c r="F22" s="2" t="n">
        <v>0</v>
      </c>
      <c r="G22" s="2" t="n">
        <v>64</v>
      </c>
      <c r="H22" s="2" t="n">
        <v>0</v>
      </c>
      <c r="I22" s="3" t="n">
        <v>0</v>
      </c>
      <c r="J22" s="3" t="n">
        <v>0</v>
      </c>
      <c r="K22" s="3" t="n">
        <v>0</v>
      </c>
      <c r="L22" s="13" t="n">
        <v>512</v>
      </c>
      <c r="M22" s="13" t="n">
        <v>512</v>
      </c>
      <c r="N22" s="13" t="n">
        <v>0</v>
      </c>
      <c r="O22" s="3">
        <f>C22*D22/1024</f>
        <v/>
      </c>
      <c r="P22" s="3" t="n">
        <v>0</v>
      </c>
      <c r="Q22" s="3" t="n">
        <v>0</v>
      </c>
      <c r="R22" s="3">
        <f>L22*M22/1024</f>
        <v/>
      </c>
      <c r="S22" s="3">
        <f>C22*D22*G22/128</f>
        <v/>
      </c>
      <c r="T22" s="3">
        <f>(S22/$Y$2)/1000</f>
        <v/>
      </c>
      <c r="U22" s="26">
        <f>((O22*8*1024)/$T22)/1000</f>
        <v/>
      </c>
      <c r="V22" s="26">
        <f>((P22*8*1024)/$T22)/1000</f>
        <v/>
      </c>
      <c r="W22" s="26">
        <f>((Q22*8*1024)/$T22)/1000</f>
        <v/>
      </c>
      <c r="X22" s="26">
        <f>((R22*8*1024)/$T22)/1000</f>
        <v/>
      </c>
    </row>
    <row r="23">
      <c r="A23" s="7" t="inlineStr">
        <is>
          <t>scale 1/sqrt(d)</t>
        </is>
      </c>
      <c r="B23" s="7" t="inlineStr">
        <is>
          <t>multiply</t>
        </is>
      </c>
      <c r="C23" s="11" t="n">
        <v>512</v>
      </c>
      <c r="D23" s="11" t="n">
        <v>512</v>
      </c>
      <c r="E23" s="11" t="n">
        <v>0</v>
      </c>
      <c r="F23" s="2" t="n">
        <v>0</v>
      </c>
      <c r="G23" s="2" t="n">
        <v>0</v>
      </c>
      <c r="H23" s="2" t="n">
        <v>0</v>
      </c>
      <c r="I23" s="3" t="n">
        <v>0</v>
      </c>
      <c r="J23" s="3" t="n">
        <v>0</v>
      </c>
      <c r="K23" s="3" t="n">
        <v>0</v>
      </c>
      <c r="L23" s="13" t="n">
        <v>512</v>
      </c>
      <c r="M23" s="13" t="n">
        <v>512</v>
      </c>
      <c r="N23" s="13" t="n">
        <v>0</v>
      </c>
      <c r="O23" s="3">
        <f>C23*D23/1024</f>
        <v/>
      </c>
      <c r="P23" s="3" t="n">
        <v>0</v>
      </c>
      <c r="Q23" s="3" t="n">
        <v>0</v>
      </c>
      <c r="R23" s="3">
        <f>L23*M23/1024</f>
        <v/>
      </c>
      <c r="S23" s="3">
        <f>C23*D23/128</f>
        <v/>
      </c>
      <c r="T23" s="3">
        <f>(S23/$Y$2)/1000</f>
        <v/>
      </c>
      <c r="U23" s="26">
        <f>((O23*8*1024)/$T23)/1000</f>
        <v/>
      </c>
      <c r="V23" s="26">
        <f>((P23*8*1024)/$T23)/1000</f>
        <v/>
      </c>
      <c r="W23" s="26">
        <f>((Q23*8*1024)/$T23)/1000</f>
        <v/>
      </c>
      <c r="X23" s="26">
        <f>((R23*8*1024)/$T23)/1000</f>
        <v/>
      </c>
    </row>
    <row r="24">
      <c r="A24" s="7" t="inlineStr">
        <is>
          <t>softmax (1 head)</t>
        </is>
      </c>
      <c r="B24" s="7" t="inlineStr">
        <is>
          <t>max</t>
        </is>
      </c>
      <c r="C24" s="11" t="n">
        <v>512</v>
      </c>
      <c r="D24" s="11" t="n">
        <v>512</v>
      </c>
      <c r="E24" s="11" t="n">
        <v>0</v>
      </c>
      <c r="F24" s="2" t="n">
        <v>0</v>
      </c>
      <c r="G24" s="2" t="n">
        <v>0</v>
      </c>
      <c r="H24" s="2" t="n">
        <v>0</v>
      </c>
      <c r="I24" s="3" t="n">
        <v>0</v>
      </c>
      <c r="J24" s="3" t="n">
        <v>0</v>
      </c>
      <c r="K24" s="3" t="n">
        <v>0</v>
      </c>
      <c r="L24" s="13" t="n">
        <v>512</v>
      </c>
      <c r="M24" s="13" t="n">
        <v>512</v>
      </c>
      <c r="N24" s="13" t="n">
        <v>0</v>
      </c>
      <c r="O24" s="3">
        <f>C24*D24/1024</f>
        <v/>
      </c>
      <c r="P24" s="3" t="n">
        <v>0</v>
      </c>
      <c r="Q24" s="3" t="n">
        <v>0</v>
      </c>
      <c r="R24" s="3">
        <f>L24*M24/1024</f>
        <v/>
      </c>
      <c r="S24" s="3">
        <f>C24*D24/128</f>
        <v/>
      </c>
      <c r="T24" s="3">
        <f>(S24/$Y$2)/1000</f>
        <v/>
      </c>
      <c r="U24" s="26">
        <f>((O24*8*1024)/$T24)/1000</f>
        <v/>
      </c>
      <c r="V24" s="26">
        <f>((P24*8*1024)/$T24)/1000</f>
        <v/>
      </c>
      <c r="W24" s="26">
        <f>((Q24*8*1024)/$T24)/1000</f>
        <v/>
      </c>
      <c r="X24" s="26">
        <f>((R24*8*1024)/$T24)/1000</f>
        <v/>
      </c>
    </row>
    <row r="25">
      <c r="A25" s="7" t="inlineStr">
        <is>
          <t>softmax (1 head)</t>
        </is>
      </c>
      <c r="B25" s="7" t="inlineStr">
        <is>
          <t>subtract</t>
        </is>
      </c>
      <c r="C25" s="11" t="n">
        <v>512</v>
      </c>
      <c r="D25" s="11" t="n">
        <v>512</v>
      </c>
      <c r="E25" s="11" t="n">
        <v>0</v>
      </c>
      <c r="F25" s="2" t="n">
        <v>0</v>
      </c>
      <c r="G25" s="2" t="n">
        <v>0</v>
      </c>
      <c r="H25" s="2" t="n">
        <v>0</v>
      </c>
      <c r="I25" s="3" t="n">
        <v>0</v>
      </c>
      <c r="J25" s="3" t="n">
        <v>0</v>
      </c>
      <c r="K25" s="3" t="n">
        <v>0</v>
      </c>
      <c r="L25" s="13" t="n">
        <v>512</v>
      </c>
      <c r="M25" s="13" t="n">
        <v>512</v>
      </c>
      <c r="N25" s="13" t="n">
        <v>0</v>
      </c>
      <c r="O25" s="3">
        <f>C25*D25/1024</f>
        <v/>
      </c>
      <c r="P25" s="3" t="n">
        <v>0</v>
      </c>
      <c r="Q25" s="3" t="n">
        <v>0</v>
      </c>
      <c r="R25" s="3">
        <f>L25*M25/1024</f>
        <v/>
      </c>
      <c r="S25" s="3">
        <f>C25*D25/128</f>
        <v/>
      </c>
      <c r="T25" s="3">
        <f>(S25/$Y$2)/1000</f>
        <v/>
      </c>
      <c r="U25" s="26">
        <f>((O25*8*1024)/$T25)/1000</f>
        <v/>
      </c>
      <c r="V25" s="26">
        <f>((P25*8*1024)/$T25)/1000</f>
        <v/>
      </c>
      <c r="W25" s="26">
        <f>((Q25*8*1024)/$T25)/1000</f>
        <v/>
      </c>
      <c r="X25" s="26">
        <f>((R25*8*1024)/$T25)/1000</f>
        <v/>
      </c>
    </row>
    <row r="26">
      <c r="A26" s="7" t="inlineStr">
        <is>
          <t>softmax (1 head)</t>
        </is>
      </c>
      <c r="B26" s="7" t="inlineStr">
        <is>
          <t>exp2</t>
        </is>
      </c>
      <c r="C26" s="11" t="n">
        <v>512</v>
      </c>
      <c r="D26" s="11" t="n">
        <v>512</v>
      </c>
      <c r="E26" s="11" t="n">
        <v>0</v>
      </c>
      <c r="F26" s="2" t="n">
        <v>0</v>
      </c>
      <c r="G26" s="2" t="n">
        <v>0</v>
      </c>
      <c r="H26" s="2" t="n">
        <v>0</v>
      </c>
      <c r="I26" s="3" t="n">
        <v>0</v>
      </c>
      <c r="J26" s="3" t="n">
        <v>0</v>
      </c>
      <c r="K26" s="3" t="n">
        <v>0</v>
      </c>
      <c r="L26" s="13" t="n">
        <v>512</v>
      </c>
      <c r="M26" s="13" t="n">
        <v>512</v>
      </c>
      <c r="N26" s="13" t="n">
        <v>0</v>
      </c>
      <c r="O26" s="3">
        <f>C26*D26/1024</f>
        <v/>
      </c>
      <c r="P26" s="3" t="n">
        <v>0</v>
      </c>
      <c r="Q26" s="3" t="n">
        <v>0</v>
      </c>
      <c r="R26" s="3">
        <f>L26*M26/1024</f>
        <v/>
      </c>
      <c r="S26" s="3">
        <f>C26*D26/128</f>
        <v/>
      </c>
      <c r="T26" s="3">
        <f>(S26/$Y$2)/1000</f>
        <v/>
      </c>
      <c r="U26" s="26">
        <f>((O26*8*1024)/$T26)/1000</f>
        <v/>
      </c>
      <c r="V26" s="26">
        <f>((P26*8*1024)/$T26)/1000</f>
        <v/>
      </c>
      <c r="W26" s="26">
        <f>((Q26*8*1024)/$T26)/1000</f>
        <v/>
      </c>
      <c r="X26" s="26">
        <f>((R26*8*1024)/$T26)/1000</f>
        <v/>
      </c>
    </row>
    <row r="27">
      <c r="A27" s="7" t="inlineStr">
        <is>
          <t>softmax (1 head)</t>
        </is>
      </c>
      <c r="B27" s="7" t="inlineStr">
        <is>
          <t>sum</t>
        </is>
      </c>
      <c r="C27" s="11" t="n">
        <v>512</v>
      </c>
      <c r="D27" s="11" t="n">
        <v>512</v>
      </c>
      <c r="E27" s="11" t="n">
        <v>0</v>
      </c>
      <c r="F27" s="2" t="n">
        <v>0</v>
      </c>
      <c r="G27" s="2" t="n">
        <v>0</v>
      </c>
      <c r="H27" s="2" t="n">
        <v>0</v>
      </c>
      <c r="I27" s="3" t="n">
        <v>0</v>
      </c>
      <c r="J27" s="3" t="n">
        <v>0</v>
      </c>
      <c r="K27" s="3" t="n">
        <v>0</v>
      </c>
      <c r="L27" s="13" t="n">
        <v>512</v>
      </c>
      <c r="M27" s="13" t="n">
        <v>512</v>
      </c>
      <c r="N27" s="13" t="n">
        <v>0</v>
      </c>
      <c r="O27" s="3">
        <f>C27*D27/1024</f>
        <v/>
      </c>
      <c r="P27" s="3" t="n">
        <v>0</v>
      </c>
      <c r="Q27" s="3" t="n">
        <v>0</v>
      </c>
      <c r="R27" s="3">
        <f>L27*M27/1024</f>
        <v/>
      </c>
      <c r="S27" s="3">
        <f>C27*D27/128</f>
        <v/>
      </c>
      <c r="T27" s="3">
        <f>(S27/$Y$2)/1000</f>
        <v/>
      </c>
      <c r="U27" s="26">
        <f>((O27*8*1024)/$T27)/1000</f>
        <v/>
      </c>
      <c r="V27" s="26">
        <f>((P27*8*1024)/$T27)/1000</f>
        <v/>
      </c>
      <c r="W27" s="26">
        <f>((Q27*8*1024)/$T27)/1000</f>
        <v/>
      </c>
      <c r="X27" s="26">
        <f>((R27*8*1024)/$T27)/1000</f>
        <v/>
      </c>
    </row>
    <row r="28">
      <c r="A28" s="7" t="inlineStr">
        <is>
          <t>softmax (1 head)</t>
        </is>
      </c>
      <c r="B28" s="7" t="inlineStr">
        <is>
          <t>multiply(1/Z)</t>
        </is>
      </c>
      <c r="C28" s="11" t="n">
        <v>512</v>
      </c>
      <c r="D28" s="11" t="n">
        <v>512</v>
      </c>
      <c r="E28" s="11" t="n">
        <v>0</v>
      </c>
      <c r="F28" s="2" t="n">
        <v>0</v>
      </c>
      <c r="G28" s="2" t="n">
        <v>0</v>
      </c>
      <c r="H28" s="2" t="n">
        <v>0</v>
      </c>
      <c r="I28" s="3" t="n">
        <v>0</v>
      </c>
      <c r="J28" s="3" t="n">
        <v>0</v>
      </c>
      <c r="K28" s="3" t="n">
        <v>0</v>
      </c>
      <c r="L28" s="13" t="n">
        <v>512</v>
      </c>
      <c r="M28" s="13" t="n">
        <v>512</v>
      </c>
      <c r="N28" s="13" t="n">
        <v>0</v>
      </c>
      <c r="O28" s="3">
        <f>C28*D28/1024</f>
        <v/>
      </c>
      <c r="P28" s="3" t="n">
        <v>0</v>
      </c>
      <c r="Q28" s="3" t="n">
        <v>0</v>
      </c>
      <c r="R28" s="3">
        <f>L28*M28/1024</f>
        <v/>
      </c>
      <c r="S28" s="3">
        <f>C28*D28/128</f>
        <v/>
      </c>
      <c r="T28" s="3">
        <f>(S28/$Y$2)/1000</f>
        <v/>
      </c>
      <c r="U28" s="26">
        <f>((O28*8*1024)/$T28)/1000</f>
        <v/>
      </c>
      <c r="V28" s="26">
        <f>((P28*8*1024)/$T28)/1000</f>
        <v/>
      </c>
      <c r="W28" s="26">
        <f>((Q28*8*1024)/$T28)/1000</f>
        <v/>
      </c>
      <c r="X28" s="26">
        <f>((R28*8*1024)/$T28)/1000</f>
        <v/>
      </c>
    </row>
    <row r="29">
      <c r="A29" s="7" t="inlineStr">
        <is>
          <t>attn @ V (1 head)</t>
        </is>
      </c>
      <c r="B29" s="7" t="inlineStr">
        <is>
          <t>multiply</t>
        </is>
      </c>
      <c r="C29" s="11" t="n">
        <v>512</v>
      </c>
      <c r="D29" s="11" t="n">
        <v>64</v>
      </c>
      <c r="E29" s="11" t="n">
        <v>0</v>
      </c>
      <c r="F29" s="2" t="n">
        <v>0</v>
      </c>
      <c r="G29" s="2" t="n">
        <v>512</v>
      </c>
      <c r="H29" s="2" t="n">
        <v>0</v>
      </c>
      <c r="I29" s="3" t="n">
        <v>0</v>
      </c>
      <c r="J29" s="3" t="n">
        <v>0</v>
      </c>
      <c r="K29" s="3" t="n">
        <v>0</v>
      </c>
      <c r="L29" s="13" t="n">
        <v>512</v>
      </c>
      <c r="M29" s="13" t="n">
        <v>64</v>
      </c>
      <c r="N29" s="13" t="n">
        <v>0</v>
      </c>
      <c r="O29" s="3">
        <f>C29*D29/1024</f>
        <v/>
      </c>
      <c r="P29" s="3" t="n">
        <v>0</v>
      </c>
      <c r="Q29" s="3" t="n">
        <v>0</v>
      </c>
      <c r="R29" s="3">
        <f>L29*M29/1024</f>
        <v/>
      </c>
      <c r="S29" s="3">
        <f>C29*D29*G29/128</f>
        <v/>
      </c>
      <c r="T29" s="3">
        <f>(S29/$Y$2)/1000</f>
        <v/>
      </c>
      <c r="U29" s="26">
        <f>((O29*8*1024)/$T29)/1000</f>
        <v/>
      </c>
      <c r="V29" s="26">
        <f>((P29*8*1024)/$T29)/1000</f>
        <v/>
      </c>
      <c r="W29" s="26">
        <f>((Q29*8*1024)/$T29)/1000</f>
        <v/>
      </c>
      <c r="X29" s="26">
        <f>((R29*8*1024)/$T29)/1000</f>
        <v/>
      </c>
    </row>
    <row r="30">
      <c r="A30" s="7" t="inlineStr">
        <is>
          <t>attn @ V (1 head)</t>
        </is>
      </c>
      <c r="B30" s="7" t="inlineStr">
        <is>
          <t>accumulate</t>
        </is>
      </c>
      <c r="C30" s="11" t="n">
        <v>512</v>
      </c>
      <c r="D30" s="11" t="n">
        <v>64</v>
      </c>
      <c r="E30" s="11" t="n">
        <v>0</v>
      </c>
      <c r="F30" s="2" t="n">
        <v>0</v>
      </c>
      <c r="G30" s="2" t="n">
        <v>512</v>
      </c>
      <c r="H30" s="2" t="n">
        <v>0</v>
      </c>
      <c r="I30" s="3" t="n">
        <v>0</v>
      </c>
      <c r="J30" s="3" t="n">
        <v>0</v>
      </c>
      <c r="K30" s="3" t="n">
        <v>0</v>
      </c>
      <c r="L30" s="13" t="n">
        <v>512</v>
      </c>
      <c r="M30" s="13" t="n">
        <v>64</v>
      </c>
      <c r="N30" s="13" t="n">
        <v>0</v>
      </c>
      <c r="O30" s="3">
        <f>C30*D30/1024</f>
        <v/>
      </c>
      <c r="P30" s="3" t="n">
        <v>0</v>
      </c>
      <c r="Q30" s="3" t="n">
        <v>0</v>
      </c>
      <c r="R30" s="3">
        <f>L30*M30/1024</f>
        <v/>
      </c>
      <c r="S30" s="3">
        <f>C30*D30*G30/128</f>
        <v/>
      </c>
      <c r="T30" s="3">
        <f>(S30/$Y$2)/1000</f>
        <v/>
      </c>
      <c r="U30" s="26">
        <f>((O30*8*1024)/$T30)/1000</f>
        <v/>
      </c>
      <c r="V30" s="26">
        <f>((P30*8*1024)/$T30)/1000</f>
        <v/>
      </c>
      <c r="W30" s="26">
        <f>((Q30*8*1024)/$T30)/1000</f>
        <v/>
      </c>
      <c r="X30" s="26">
        <f>((R30*8*1024)/$T30)/1000</f>
        <v/>
      </c>
    </row>
    <row r="31">
      <c r="A31" s="7" t="inlineStr">
        <is>
          <t>concat heads</t>
        </is>
      </c>
      <c r="B31" s="7" t="inlineStr">
        <is>
          <t>reshape</t>
        </is>
      </c>
      <c r="C31" s="11" t="n">
        <v>256</v>
      </c>
      <c r="D31" s="11" t="n">
        <v>512</v>
      </c>
      <c r="E31" s="11" t="n">
        <v>0</v>
      </c>
      <c r="F31" s="2" t="n">
        <v>0</v>
      </c>
      <c r="G31" s="2" t="n">
        <v>0</v>
      </c>
      <c r="H31" s="2" t="n">
        <v>0</v>
      </c>
      <c r="I31" s="3" t="n">
        <v>0</v>
      </c>
      <c r="J31" s="3" t="n">
        <v>0</v>
      </c>
      <c r="K31" s="3" t="n">
        <v>0</v>
      </c>
      <c r="L31" s="13" t="n">
        <v>256</v>
      </c>
      <c r="M31" s="13" t="n">
        <v>512</v>
      </c>
      <c r="N31" s="13" t="n">
        <v>0</v>
      </c>
      <c r="O31" s="3">
        <f>C31*D31/1024</f>
        <v/>
      </c>
      <c r="P31" s="3" t="n">
        <v>0</v>
      </c>
      <c r="Q31" s="3" t="n">
        <v>0</v>
      </c>
      <c r="R31" s="3">
        <f>L31*M31/1024</f>
        <v/>
      </c>
      <c r="S31" s="3" t="inlineStr">
        <is>
          <t>0</t>
        </is>
      </c>
      <c r="T31" s="3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17" t="inlineStr">
        <is>
          <t>total 4 heads [us]</t>
        </is>
      </c>
      <c r="Z31" s="17">
        <f>4*(SUM(T21:T30))</f>
        <v/>
      </c>
    </row>
    <row r="32">
      <c r="A32" s="7" t="inlineStr">
        <is>
          <t>out proj D-&gt;D</t>
        </is>
      </c>
      <c r="B32" s="7" t="inlineStr">
        <is>
          <t>multiply</t>
        </is>
      </c>
      <c r="C32" s="11" t="n">
        <v>256</v>
      </c>
      <c r="D32" s="11" t="n">
        <v>512</v>
      </c>
      <c r="E32" s="11" t="n">
        <v>0</v>
      </c>
      <c r="F32" s="2" t="n">
        <v>0</v>
      </c>
      <c r="G32" s="2" t="n">
        <v>256</v>
      </c>
      <c r="H32" s="2" t="n">
        <v>0</v>
      </c>
      <c r="I32" s="3" t="n">
        <v>0</v>
      </c>
      <c r="J32" s="3" t="n">
        <v>0</v>
      </c>
      <c r="K32" s="3" t="n">
        <v>0</v>
      </c>
      <c r="L32" s="13" t="n">
        <v>256</v>
      </c>
      <c r="M32" s="13" t="n">
        <v>512</v>
      </c>
      <c r="N32" s="13" t="n">
        <v>0</v>
      </c>
      <c r="O32" s="3">
        <f>C32*D32/1024</f>
        <v/>
      </c>
      <c r="P32" s="3" t="n">
        <v>0</v>
      </c>
      <c r="Q32" s="3" t="n">
        <v>0</v>
      </c>
      <c r="R32" s="3">
        <f>L32*M32/1024</f>
        <v/>
      </c>
      <c r="S32" s="3">
        <f>C32*D32*G32/128</f>
        <v/>
      </c>
      <c r="T32" s="3">
        <f>(S32/$Y$2)/1000</f>
        <v/>
      </c>
      <c r="U32" s="26">
        <f>((O32*8*1024)/$T32)/1000</f>
        <v/>
      </c>
      <c r="V32" s="26">
        <f>((P32*8*1024)/$T32)/1000</f>
        <v/>
      </c>
      <c r="W32" s="26">
        <f>((Q32*8*1024)/$T32)/1000</f>
        <v/>
      </c>
      <c r="X32" s="26">
        <f>((R32*8*1024)/$T32)/1000</f>
        <v/>
      </c>
    </row>
    <row r="33">
      <c r="A33" s="7" t="inlineStr">
        <is>
          <t>out proj D-&gt;D</t>
        </is>
      </c>
      <c r="B33" s="7" t="inlineStr">
        <is>
          <t>accumulate</t>
        </is>
      </c>
      <c r="C33" s="11" t="n">
        <v>256</v>
      </c>
      <c r="D33" s="11" t="n">
        <v>512</v>
      </c>
      <c r="E33" s="11" t="n">
        <v>0</v>
      </c>
      <c r="F33" s="2" t="n">
        <v>0</v>
      </c>
      <c r="G33" s="2" t="n">
        <v>256</v>
      </c>
      <c r="H33" s="2" t="n">
        <v>0</v>
      </c>
      <c r="I33" s="3" t="n">
        <v>0</v>
      </c>
      <c r="J33" s="3" t="n">
        <v>0</v>
      </c>
      <c r="K33" s="3" t="n">
        <v>0</v>
      </c>
      <c r="L33" s="13" t="n">
        <v>256</v>
      </c>
      <c r="M33" s="13" t="n">
        <v>512</v>
      </c>
      <c r="N33" s="13" t="n">
        <v>0</v>
      </c>
      <c r="O33" s="3">
        <f>C33*D33/1024</f>
        <v/>
      </c>
      <c r="P33" s="3" t="n">
        <v>0</v>
      </c>
      <c r="Q33" s="3" t="n">
        <v>0</v>
      </c>
      <c r="R33" s="3">
        <f>L33*M33/1024</f>
        <v/>
      </c>
      <c r="S33" s="3">
        <f>C33*D33*G33/128</f>
        <v/>
      </c>
      <c r="T33" s="3">
        <f>(S33/$Y$2)/1000</f>
        <v/>
      </c>
      <c r="U33" s="26">
        <f>((O33*8*1024)/$T33)/1000</f>
        <v/>
      </c>
      <c r="V33" s="26">
        <f>((P33*8*1024)/$T33)/1000</f>
        <v/>
      </c>
      <c r="W33" s="26">
        <f>((Q33*8*1024)/$T33)/1000</f>
        <v/>
      </c>
      <c r="X33" s="26">
        <f>((R33*8*1024)/$T33)/1000</f>
        <v/>
      </c>
    </row>
    <row r="34">
      <c r="A34" s="7" t="inlineStr">
        <is>
          <t>Residual x+=msg</t>
        </is>
      </c>
      <c r="B34" s="7" t="inlineStr">
        <is>
          <t>add</t>
        </is>
      </c>
      <c r="C34" s="11" t="n">
        <v>256</v>
      </c>
      <c r="D34" s="11" t="n">
        <v>512</v>
      </c>
      <c r="E34" s="11" t="n">
        <v>0</v>
      </c>
      <c r="F34" s="2" t="n">
        <v>0</v>
      </c>
      <c r="G34" s="2" t="n">
        <v>0</v>
      </c>
      <c r="H34" s="2" t="n">
        <v>0</v>
      </c>
      <c r="I34" s="3" t="n">
        <v>0</v>
      </c>
      <c r="J34" s="3" t="n">
        <v>0</v>
      </c>
      <c r="K34" s="3" t="n">
        <v>0</v>
      </c>
      <c r="L34" s="13" t="n">
        <v>256</v>
      </c>
      <c r="M34" s="13" t="n">
        <v>512</v>
      </c>
      <c r="N34" s="13" t="n">
        <v>0</v>
      </c>
      <c r="O34" s="3">
        <f>C34*D34/1024</f>
        <v/>
      </c>
      <c r="P34" s="3" t="n">
        <v>0</v>
      </c>
      <c r="Q34" s="3" t="n">
        <v>0</v>
      </c>
      <c r="R34" s="3">
        <f>L34*M34/1024</f>
        <v/>
      </c>
      <c r="S34" s="3">
        <f>C34*D34/128</f>
        <v/>
      </c>
      <c r="T34" s="3">
        <f>(S34/$Y$2)/1000</f>
        <v/>
      </c>
      <c r="U34" s="26">
        <f>((O34*8*1024)/$T34)/1000</f>
        <v/>
      </c>
      <c r="V34" s="26">
        <f>((P34*8*1024)/$T34)/1000</f>
        <v/>
      </c>
      <c r="W34" s="26">
        <f>((Q34*8*1024)/$T34)/1000</f>
        <v/>
      </c>
      <c r="X34" s="26">
        <f>((R34*8*1024)/$T34)/1000</f>
        <v/>
      </c>
    </row>
    <row r="35">
      <c r="A35" s="7" t="inlineStr">
        <is>
          <t>merge MLP 2D-&gt;2D</t>
        </is>
      </c>
      <c r="B35" s="7" t="inlineStr">
        <is>
          <t>multiply</t>
        </is>
      </c>
      <c r="C35" s="11" t="n">
        <v>512</v>
      </c>
      <c r="D35" s="11" t="n">
        <v>512</v>
      </c>
      <c r="E35" s="11" t="n">
        <v>0</v>
      </c>
      <c r="F35" s="2" t="n">
        <v>0</v>
      </c>
      <c r="G35" s="2" t="n">
        <v>512</v>
      </c>
      <c r="H35" s="2" t="n">
        <v>0</v>
      </c>
      <c r="I35" s="3" t="n">
        <v>0</v>
      </c>
      <c r="J35" s="3" t="n">
        <v>0</v>
      </c>
      <c r="K35" s="3" t="n">
        <v>0</v>
      </c>
      <c r="L35" s="13" t="n">
        <v>512</v>
      </c>
      <c r="M35" s="13" t="n">
        <v>512</v>
      </c>
      <c r="N35" s="13" t="n">
        <v>0</v>
      </c>
      <c r="O35" s="3">
        <f>C35*D35/1024</f>
        <v/>
      </c>
      <c r="P35" s="3" t="n">
        <v>0</v>
      </c>
      <c r="Q35" s="3" t="n">
        <v>0</v>
      </c>
      <c r="R35" s="3">
        <f>L35*M35/1024</f>
        <v/>
      </c>
      <c r="S35" s="3">
        <f>C35*D35*G35/128</f>
        <v/>
      </c>
      <c r="T35" s="3">
        <f>(S35/$Y$2)/1000</f>
        <v/>
      </c>
      <c r="U35" s="26">
        <f>((O35*8*1024)/$T35)/1000</f>
        <v/>
      </c>
      <c r="V35" s="26">
        <f>((P35*8*1024)/$T35)/1000</f>
        <v/>
      </c>
      <c r="W35" s="26">
        <f>((Q35*8*1024)/$T35)/1000</f>
        <v/>
      </c>
      <c r="X35" s="26">
        <f>((R35*8*1024)/$T35)/1000</f>
        <v/>
      </c>
    </row>
    <row r="36">
      <c r="A36" s="7" t="inlineStr">
        <is>
          <t>merge MLP 2D-&gt;2D</t>
        </is>
      </c>
      <c r="B36" s="7" t="inlineStr">
        <is>
          <t>accumulate</t>
        </is>
      </c>
      <c r="C36" s="11" t="n">
        <v>512</v>
      </c>
      <c r="D36" s="11" t="n">
        <v>512</v>
      </c>
      <c r="E36" s="11" t="n">
        <v>0</v>
      </c>
      <c r="F36" s="2" t="n">
        <v>0</v>
      </c>
      <c r="G36" s="2" t="n">
        <v>512</v>
      </c>
      <c r="H36" s="2" t="n">
        <v>0</v>
      </c>
      <c r="I36" s="3" t="n">
        <v>0</v>
      </c>
      <c r="J36" s="3" t="n">
        <v>0</v>
      </c>
      <c r="K36" s="3" t="n">
        <v>0</v>
      </c>
      <c r="L36" s="13" t="n">
        <v>512</v>
      </c>
      <c r="M36" s="13" t="n">
        <v>512</v>
      </c>
      <c r="N36" s="13" t="n">
        <v>0</v>
      </c>
      <c r="O36" s="3">
        <f>C36*D36/1024</f>
        <v/>
      </c>
      <c r="P36" s="3" t="n">
        <v>0</v>
      </c>
      <c r="Q36" s="3" t="n">
        <v>0</v>
      </c>
      <c r="R36" s="3">
        <f>L36*M36/1024</f>
        <v/>
      </c>
      <c r="S36" s="3">
        <f>C36*D36*G36/128</f>
        <v/>
      </c>
      <c r="T36" s="3">
        <f>(S36/$Y$2)/1000</f>
        <v/>
      </c>
      <c r="U36" s="26">
        <f>((O36*8*1024)/$T36)/1000</f>
        <v/>
      </c>
      <c r="V36" s="26">
        <f>((P36*8*1024)/$T36)/1000</f>
        <v/>
      </c>
      <c r="W36" s="26">
        <f>((Q36*8*1024)/$T36)/1000</f>
        <v/>
      </c>
      <c r="X36" s="26">
        <f>((R36*8*1024)/$T36)/1000</f>
        <v/>
      </c>
    </row>
    <row r="37">
      <c r="A37" s="7" t="inlineStr">
        <is>
          <t>merge MLP relu</t>
        </is>
      </c>
      <c r="B37" s="7" t="inlineStr">
        <is>
          <t>relu</t>
        </is>
      </c>
      <c r="C37" s="11" t="n">
        <v>512</v>
      </c>
      <c r="D37" s="11" t="n">
        <v>512</v>
      </c>
      <c r="E37" s="11" t="n">
        <v>0</v>
      </c>
      <c r="F37" s="2" t="n">
        <v>0</v>
      </c>
      <c r="G37" s="2" t="n">
        <v>0</v>
      </c>
      <c r="H37" s="2" t="n">
        <v>0</v>
      </c>
      <c r="I37" s="3" t="n">
        <v>0</v>
      </c>
      <c r="J37" s="3" t="n">
        <v>0</v>
      </c>
      <c r="K37" s="3" t="n">
        <v>0</v>
      </c>
      <c r="L37" s="13" t="n">
        <v>512</v>
      </c>
      <c r="M37" s="13" t="n">
        <v>512</v>
      </c>
      <c r="N37" s="13" t="n">
        <v>0</v>
      </c>
      <c r="O37" s="3">
        <f>C37*D37/1024</f>
        <v/>
      </c>
      <c r="P37" s="3" t="n">
        <v>0</v>
      </c>
      <c r="Q37" s="3" t="n">
        <v>0</v>
      </c>
      <c r="R37" s="3">
        <f>L37*M37/1024</f>
        <v/>
      </c>
      <c r="S37" s="3">
        <f>C37*D37/128</f>
        <v/>
      </c>
      <c r="T37" s="3">
        <f>(S37/$Y$2)/1000</f>
        <v/>
      </c>
      <c r="U37" s="26">
        <f>((O37*8*1024)/$T37)/1000</f>
        <v/>
      </c>
      <c r="V37" s="26">
        <f>((P37*8*1024)/$T37)/1000</f>
        <v/>
      </c>
      <c r="W37" s="26">
        <f>((Q37*8*1024)/$T37)/1000</f>
        <v/>
      </c>
      <c r="X37" s="26">
        <f>((R37*8*1024)/$T37)/1000</f>
        <v/>
      </c>
    </row>
    <row r="38">
      <c r="A38" s="7" t="inlineStr">
        <is>
          <t>merge MLP 2D-&gt;D</t>
        </is>
      </c>
      <c r="B38" s="7" t="inlineStr">
        <is>
          <t>multiply</t>
        </is>
      </c>
      <c r="C38" s="11" t="n">
        <v>256</v>
      </c>
      <c r="D38" s="11" t="n">
        <v>512</v>
      </c>
      <c r="E38" s="11" t="n">
        <v>0</v>
      </c>
      <c r="F38" s="2" t="n">
        <v>0</v>
      </c>
      <c r="G38" s="2" t="n">
        <v>512</v>
      </c>
      <c r="H38" s="2" t="n">
        <v>0</v>
      </c>
      <c r="I38" s="3" t="n">
        <v>0</v>
      </c>
      <c r="J38" s="3" t="n">
        <v>0</v>
      </c>
      <c r="K38" s="3" t="n">
        <v>0</v>
      </c>
      <c r="L38" s="13" t="n">
        <v>256</v>
      </c>
      <c r="M38" s="13" t="n">
        <v>512</v>
      </c>
      <c r="N38" s="13" t="n">
        <v>0</v>
      </c>
      <c r="O38" s="3">
        <f>C38*D38/1024</f>
        <v/>
      </c>
      <c r="P38" s="3" t="n">
        <v>0</v>
      </c>
      <c r="Q38" s="3" t="n">
        <v>0</v>
      </c>
      <c r="R38" s="3">
        <f>L38*M38/1024</f>
        <v/>
      </c>
      <c r="S38" s="3">
        <f>C38*D38*G38/128</f>
        <v/>
      </c>
      <c r="T38" s="3">
        <f>(S38/$Y$2)/1000</f>
        <v/>
      </c>
      <c r="U38" s="26">
        <f>((O38*8*1024)/$T38)/1000</f>
        <v/>
      </c>
      <c r="V38" s="26">
        <f>((P38*8*1024)/$T38)/1000</f>
        <v/>
      </c>
      <c r="W38" s="26">
        <f>((Q38*8*1024)/$T38)/1000</f>
        <v/>
      </c>
      <c r="X38" s="26">
        <f>((R38*8*1024)/$T38)/1000</f>
        <v/>
      </c>
    </row>
    <row r="39">
      <c r="A39" s="7" t="inlineStr">
        <is>
          <t>merge MLP 2D-&gt;D</t>
        </is>
      </c>
      <c r="B39" s="7" t="inlineStr">
        <is>
          <t>accumulate</t>
        </is>
      </c>
      <c r="C39" s="11" t="n">
        <v>256</v>
      </c>
      <c r="D39" s="11" t="n">
        <v>512</v>
      </c>
      <c r="E39" s="11" t="n">
        <v>0</v>
      </c>
      <c r="F39" s="2" t="n">
        <v>0</v>
      </c>
      <c r="G39" s="2" t="n">
        <v>512</v>
      </c>
      <c r="H39" s="2" t="n">
        <v>0</v>
      </c>
      <c r="I39" s="3" t="n">
        <v>0</v>
      </c>
      <c r="J39" s="3" t="n">
        <v>0</v>
      </c>
      <c r="K39" s="3" t="n">
        <v>0</v>
      </c>
      <c r="L39" s="13" t="n">
        <v>256</v>
      </c>
      <c r="M39" s="13" t="n">
        <v>512</v>
      </c>
      <c r="N39" s="13" t="n">
        <v>0</v>
      </c>
      <c r="O39" s="3">
        <f>C39*D39/1024</f>
        <v/>
      </c>
      <c r="P39" s="3" t="n">
        <v>0</v>
      </c>
      <c r="Q39" s="3" t="n">
        <v>0</v>
      </c>
      <c r="R39" s="3">
        <f>L39*M39/1024</f>
        <v/>
      </c>
      <c r="S39" s="3">
        <f>C39*D39*G39/128</f>
        <v/>
      </c>
      <c r="T39" s="3">
        <f>(S39/$Y$2)/1000</f>
        <v/>
      </c>
      <c r="U39" s="26">
        <f>((O39*8*1024)/$T39)/1000</f>
        <v/>
      </c>
      <c r="V39" s="26">
        <f>((P39*8*1024)/$T39)/1000</f>
        <v/>
      </c>
      <c r="W39" s="26">
        <f>((Q39*8*1024)/$T39)/1000</f>
        <v/>
      </c>
      <c r="X39" s="26">
        <f>((R39*8*1024)/$T39)/1000</f>
        <v/>
      </c>
    </row>
    <row r="40">
      <c r="A40" s="7" t="inlineStr">
        <is>
          <t>Residual x+=mlp</t>
        </is>
      </c>
      <c r="B40" s="7" t="inlineStr">
        <is>
          <t>add</t>
        </is>
      </c>
      <c r="C40" s="11" t="n">
        <v>256</v>
      </c>
      <c r="D40" s="11" t="n">
        <v>512</v>
      </c>
      <c r="E40" s="11" t="n">
        <v>0</v>
      </c>
      <c r="F40" s="2" t="n">
        <v>0</v>
      </c>
      <c r="G40" s="2" t="n">
        <v>0</v>
      </c>
      <c r="H40" s="2" t="n">
        <v>0</v>
      </c>
      <c r="I40" s="3" t="n">
        <v>0</v>
      </c>
      <c r="J40" s="3" t="n">
        <v>0</v>
      </c>
      <c r="K40" s="3" t="n">
        <v>0</v>
      </c>
      <c r="L40" s="13" t="n">
        <v>256</v>
      </c>
      <c r="M40" s="13" t="n">
        <v>512</v>
      </c>
      <c r="N40" s="13" t="n">
        <v>0</v>
      </c>
      <c r="O40" s="3">
        <f>C40*D40/1024</f>
        <v/>
      </c>
      <c r="P40" s="3" t="n">
        <v>0</v>
      </c>
      <c r="Q40" s="3" t="n">
        <v>0</v>
      </c>
      <c r="R40" s="3">
        <f>L40*M40/1024</f>
        <v/>
      </c>
      <c r="S40" s="3">
        <f>C40*D40/128</f>
        <v/>
      </c>
      <c r="T40" s="3">
        <f>(S40/$Y$2)/1000</f>
        <v/>
      </c>
      <c r="U40" s="26">
        <f>((O40*8*1024)/$T40)/1000</f>
        <v/>
      </c>
      <c r="V40" s="26">
        <f>((P40*8*1024)/$T40)/1000</f>
        <v/>
      </c>
      <c r="W40" s="26">
        <f>((Q40*8*1024)/$T40)/1000</f>
        <v/>
      </c>
      <c r="X40" s="26">
        <f>((R40*8*1024)/$T40)/1000</f>
        <v/>
      </c>
      <c r="Y40" s="17" t="inlineStr">
        <is>
          <t>GNN total [us] -&gt;</t>
        </is>
      </c>
      <c r="Z40" s="17">
        <f>36*(SUM(T12:T40)+3*(SUM(T21:T30)))</f>
        <v/>
      </c>
    </row>
    <row r="41">
      <c r="A41" s="7" t="inlineStr">
        <is>
          <t>final proj D-&gt;D</t>
        </is>
      </c>
      <c r="B41" s="7" t="inlineStr">
        <is>
          <t>multiply</t>
        </is>
      </c>
      <c r="C41" s="11" t="n">
        <v>256</v>
      </c>
      <c r="D41" s="11" t="n">
        <v>512</v>
      </c>
      <c r="E41" s="11" t="n">
        <v>0</v>
      </c>
      <c r="F41" s="2" t="n">
        <v>0</v>
      </c>
      <c r="G41" s="2" t="n">
        <v>256</v>
      </c>
      <c r="H41" s="2" t="n">
        <v>0</v>
      </c>
      <c r="I41" s="3" t="n">
        <v>0</v>
      </c>
      <c r="J41" s="3" t="n">
        <v>0</v>
      </c>
      <c r="K41" s="3" t="n">
        <v>0</v>
      </c>
      <c r="L41" s="13" t="n">
        <v>256</v>
      </c>
      <c r="M41" s="13" t="n">
        <v>512</v>
      </c>
      <c r="N41" s="13" t="n">
        <v>0</v>
      </c>
      <c r="O41" s="3">
        <f>C41*D41/1024</f>
        <v/>
      </c>
      <c r="P41" s="3" t="n">
        <v>0</v>
      </c>
      <c r="Q41" s="3" t="n">
        <v>0</v>
      </c>
      <c r="R41" s="3">
        <f>L41*M41/1024</f>
        <v/>
      </c>
      <c r="S41" s="3">
        <f>C41*D41*G41/128</f>
        <v/>
      </c>
      <c r="T41" s="3">
        <f>(S41/$Y$2)/1000</f>
        <v/>
      </c>
      <c r="U41" s="26">
        <f>((O41*8*1024)/$T41)/1000</f>
        <v/>
      </c>
      <c r="V41" s="26">
        <f>((P41*8*1024)/$T41)/1000</f>
        <v/>
      </c>
      <c r="W41" s="26">
        <f>((Q41*8*1024)/$T41)/1000</f>
        <v/>
      </c>
      <c r="X41" s="26">
        <f>((R41*8*1024)/$T41)/1000</f>
        <v/>
      </c>
    </row>
    <row r="42">
      <c r="A42" s="7" t="inlineStr">
        <is>
          <t>final proj D-&gt;D</t>
        </is>
      </c>
      <c r="B42" s="7" t="inlineStr">
        <is>
          <t>accumulate</t>
        </is>
      </c>
      <c r="C42" s="11" t="n">
        <v>256</v>
      </c>
      <c r="D42" s="11" t="n">
        <v>512</v>
      </c>
      <c r="E42" s="11" t="n">
        <v>0</v>
      </c>
      <c r="F42" s="2" t="n">
        <v>0</v>
      </c>
      <c r="G42" s="2" t="n">
        <v>256</v>
      </c>
      <c r="H42" s="2" t="n">
        <v>0</v>
      </c>
      <c r="I42" s="3" t="n">
        <v>0</v>
      </c>
      <c r="J42" s="3" t="n">
        <v>0</v>
      </c>
      <c r="K42" s="3" t="n">
        <v>0</v>
      </c>
      <c r="L42" s="13" t="n">
        <v>256</v>
      </c>
      <c r="M42" s="13" t="n">
        <v>512</v>
      </c>
      <c r="N42" s="13" t="n">
        <v>0</v>
      </c>
      <c r="O42" s="3">
        <f>C42*D42/1024</f>
        <v/>
      </c>
      <c r="P42" s="3" t="n">
        <v>0</v>
      </c>
      <c r="Q42" s="3" t="n">
        <v>0</v>
      </c>
      <c r="R42" s="3">
        <f>L42*M42/1024</f>
        <v/>
      </c>
      <c r="S42" s="3">
        <f>C42*D42*G42/128</f>
        <v/>
      </c>
      <c r="T42" s="3">
        <f>(S42/$Y$2)/1000</f>
        <v/>
      </c>
      <c r="U42" s="26">
        <f>((O42*8*1024)/$T42)/1000</f>
        <v/>
      </c>
      <c r="V42" s="26">
        <f>((P42*8*1024)/$T42)/1000</f>
        <v/>
      </c>
      <c r="W42" s="26">
        <f>((Q42*8*1024)/$T42)/1000</f>
        <v/>
      </c>
      <c r="X42" s="26">
        <f>((R42*8*1024)/$T42)/1000</f>
        <v/>
      </c>
    </row>
    <row r="43">
      <c r="A43" s="7" t="inlineStr">
        <is>
          <t>score = A^T B</t>
        </is>
      </c>
      <c r="B43" s="7" t="inlineStr">
        <is>
          <t>multiply</t>
        </is>
      </c>
      <c r="C43" s="11" t="n">
        <v>512</v>
      </c>
      <c r="D43" s="11" t="n">
        <v>512</v>
      </c>
      <c r="E43" s="11" t="n">
        <v>0</v>
      </c>
      <c r="F43" s="2" t="n">
        <v>0</v>
      </c>
      <c r="G43" s="2" t="n">
        <v>256</v>
      </c>
      <c r="H43" s="2" t="n">
        <v>0</v>
      </c>
      <c r="I43" s="3" t="n">
        <v>0</v>
      </c>
      <c r="J43" s="3" t="n">
        <v>0</v>
      </c>
      <c r="K43" s="3" t="n">
        <v>0</v>
      </c>
      <c r="L43" s="13" t="n">
        <v>512</v>
      </c>
      <c r="M43" s="13" t="n">
        <v>512</v>
      </c>
      <c r="N43" s="13" t="n">
        <v>0</v>
      </c>
      <c r="O43" s="3">
        <f>C43*D43/1024</f>
        <v/>
      </c>
      <c r="P43" s="3" t="n">
        <v>0</v>
      </c>
      <c r="Q43" s="3" t="n">
        <v>0</v>
      </c>
      <c r="R43" s="3">
        <f>L43*M43/1024</f>
        <v/>
      </c>
      <c r="S43" s="3">
        <f>C43*D43*G43/128</f>
        <v/>
      </c>
      <c r="T43" s="3">
        <f>(S43/$Y$2)/1000</f>
        <v/>
      </c>
      <c r="U43" s="26">
        <f>((O43*8*1024)/$T43)/1000</f>
        <v/>
      </c>
      <c r="V43" s="26">
        <f>((P43*8*1024)/$T43)/1000</f>
        <v/>
      </c>
      <c r="W43" s="26">
        <f>((Q43*8*1024)/$T43)/1000</f>
        <v/>
      </c>
      <c r="X43" s="26">
        <f>((R43*8*1024)/$T43)/1000</f>
        <v/>
      </c>
    </row>
    <row r="44">
      <c r="A44" s="7" t="inlineStr">
        <is>
          <t>score = A^T B</t>
        </is>
      </c>
      <c r="B44" s="7" t="inlineStr">
        <is>
          <t>accumulate</t>
        </is>
      </c>
      <c r="C44" s="11" t="n">
        <v>512</v>
      </c>
      <c r="D44" s="11" t="n">
        <v>512</v>
      </c>
      <c r="E44" s="11" t="n">
        <v>0</v>
      </c>
      <c r="F44" s="2" t="n">
        <v>0</v>
      </c>
      <c r="G44" s="2" t="n">
        <v>256</v>
      </c>
      <c r="H44" s="2" t="n">
        <v>0</v>
      </c>
      <c r="I44" s="3" t="n">
        <v>0</v>
      </c>
      <c r="J44" s="3" t="n">
        <v>0</v>
      </c>
      <c r="K44" s="3" t="n">
        <v>0</v>
      </c>
      <c r="L44" s="13" t="n">
        <v>512</v>
      </c>
      <c r="M44" s="13" t="n">
        <v>512</v>
      </c>
      <c r="N44" s="13" t="n">
        <v>0</v>
      </c>
      <c r="O44" s="3">
        <f>C44*D44/1024</f>
        <v/>
      </c>
      <c r="P44" s="3" t="n">
        <v>0</v>
      </c>
      <c r="Q44" s="3" t="n">
        <v>0</v>
      </c>
      <c r="R44" s="3">
        <f>L44*M44/1024</f>
        <v/>
      </c>
      <c r="S44" s="3">
        <f>C44*D44*G44/128</f>
        <v/>
      </c>
      <c r="T44" s="3">
        <f>(S44/$Y$2)/1000</f>
        <v/>
      </c>
      <c r="U44" s="26">
        <f>((O44*8*1024)/$T44)/1000</f>
        <v/>
      </c>
      <c r="V44" s="26">
        <f>((P44*8*1024)/$T44)/1000</f>
        <v/>
      </c>
      <c r="W44" s="26">
        <f>((Q44*8*1024)/$T44)/1000</f>
        <v/>
      </c>
      <c r="X44" s="26">
        <f>((R44*8*1024)/$T44)/1000</f>
        <v/>
      </c>
    </row>
    <row r="45">
      <c r="A45" s="7" t="inlineStr">
        <is>
          <t>scale 1/sqrt(d)</t>
        </is>
      </c>
      <c r="B45" s="7" t="inlineStr">
        <is>
          <t>multiply</t>
        </is>
      </c>
      <c r="C45" s="11" t="n">
        <v>512</v>
      </c>
      <c r="D45" s="11" t="n">
        <v>512</v>
      </c>
      <c r="E45" s="11" t="n">
        <v>0</v>
      </c>
      <c r="F45" s="2" t="n">
        <v>0</v>
      </c>
      <c r="G45" s="2" t="n">
        <v>0</v>
      </c>
      <c r="H45" s="2" t="n">
        <v>0</v>
      </c>
      <c r="I45" s="3" t="n">
        <v>0</v>
      </c>
      <c r="J45" s="3" t="n">
        <v>0</v>
      </c>
      <c r="K45" s="3" t="n">
        <v>0</v>
      </c>
      <c r="L45" s="13" t="n">
        <v>512</v>
      </c>
      <c r="M45" s="13" t="n">
        <v>512</v>
      </c>
      <c r="N45" s="13" t="n">
        <v>0</v>
      </c>
      <c r="O45" s="3">
        <f>C45*D45/1024</f>
        <v/>
      </c>
      <c r="P45" s="3" t="n">
        <v>0</v>
      </c>
      <c r="Q45" s="3" t="n">
        <v>0</v>
      </c>
      <c r="R45" s="3">
        <f>L45*M45/1024</f>
        <v/>
      </c>
      <c r="S45" s="3">
        <f>C45*D45/128</f>
        <v/>
      </c>
      <c r="T45" s="3">
        <f>(S45/$Y$2)/1000</f>
        <v/>
      </c>
      <c r="U45" s="26">
        <f>((O45*8*1024)/$T45)/1000</f>
        <v/>
      </c>
      <c r="V45" s="26">
        <f>((P45*8*1024)/$T45)/1000</f>
        <v/>
      </c>
      <c r="W45" s="26">
        <f>((Q45*8*1024)/$T45)/1000</f>
        <v/>
      </c>
      <c r="X45" s="26">
        <f>((R45*8*1024)/$T45)/1000</f>
        <v/>
      </c>
    </row>
    <row r="46">
      <c r="A46" s="7" t="inlineStr">
        <is>
          <t>dustbin augment</t>
        </is>
      </c>
      <c r="B46" s="7" t="inlineStr">
        <is>
          <t>reshape</t>
        </is>
      </c>
      <c r="C46" s="11" t="n">
        <v>513</v>
      </c>
      <c r="D46" s="11" t="n">
        <v>513</v>
      </c>
      <c r="E46" s="11" t="n">
        <v>0</v>
      </c>
      <c r="F46" s="2" t="n">
        <v>0</v>
      </c>
      <c r="G46" s="2" t="n">
        <v>0</v>
      </c>
      <c r="H46" s="2" t="n">
        <v>0</v>
      </c>
      <c r="I46" s="3" t="n">
        <v>0</v>
      </c>
      <c r="J46" s="3" t="n">
        <v>0</v>
      </c>
      <c r="K46" s="3" t="n">
        <v>0</v>
      </c>
      <c r="L46" s="13" t="n">
        <v>513</v>
      </c>
      <c r="M46" s="13" t="n">
        <v>513</v>
      </c>
      <c r="N46" s="13" t="n">
        <v>0</v>
      </c>
      <c r="O46" s="3">
        <f>C46*D46/1024</f>
        <v/>
      </c>
      <c r="P46" s="3" t="n">
        <v>0</v>
      </c>
      <c r="Q46" s="3" t="n">
        <v>0</v>
      </c>
      <c r="R46" s="3">
        <f>L46*M46/1024</f>
        <v/>
      </c>
      <c r="S46" s="3" t="inlineStr">
        <is>
          <t>0</t>
        </is>
      </c>
      <c r="T46" s="3" t="n">
        <v>0</v>
      </c>
      <c r="U46" s="26" t="n">
        <v>0</v>
      </c>
      <c r="V46" s="26" t="n">
        <v>0</v>
      </c>
      <c r="W46" s="26" t="n">
        <v>0</v>
      </c>
      <c r="X46" s="26" t="n">
        <v>0</v>
      </c>
    </row>
    <row r="47">
      <c r="A47" s="7" t="inlineStr">
        <is>
          <t>Sinkhorn row norm</t>
        </is>
      </c>
      <c r="B47" s="7" t="inlineStr">
        <is>
          <t>max</t>
        </is>
      </c>
      <c r="C47" s="11" t="n">
        <v>513</v>
      </c>
      <c r="D47" s="11" t="n">
        <v>513</v>
      </c>
      <c r="E47" s="11" t="n">
        <v>0</v>
      </c>
      <c r="F47" s="2" t="n">
        <v>0</v>
      </c>
      <c r="G47" s="2" t="n">
        <v>0</v>
      </c>
      <c r="H47" s="2" t="n">
        <v>0</v>
      </c>
      <c r="I47" s="3" t="n">
        <v>0</v>
      </c>
      <c r="J47" s="3" t="n">
        <v>0</v>
      </c>
      <c r="K47" s="3" t="n">
        <v>0</v>
      </c>
      <c r="L47" s="13" t="n">
        <v>513</v>
      </c>
      <c r="M47" s="13" t="n">
        <v>513</v>
      </c>
      <c r="N47" s="13" t="n">
        <v>0</v>
      </c>
      <c r="O47" s="3">
        <f>C47*D47/1024</f>
        <v/>
      </c>
      <c r="P47" s="3" t="n">
        <v>0</v>
      </c>
      <c r="Q47" s="3" t="n">
        <v>0</v>
      </c>
      <c r="R47" s="3">
        <f>L47*M47/1024</f>
        <v/>
      </c>
      <c r="S47" s="3">
        <f>C47*D47/128</f>
        <v/>
      </c>
      <c r="T47" s="3">
        <f>(S47/$Y$2)/1000</f>
        <v/>
      </c>
      <c r="U47" s="26">
        <f>((O47*8*1024)/$T47)/1000</f>
        <v/>
      </c>
      <c r="V47" s="26">
        <f>((P47*8*1024)/$T47)/1000</f>
        <v/>
      </c>
      <c r="W47" s="26">
        <f>((Q47*8*1024)/$T47)/1000</f>
        <v/>
      </c>
      <c r="X47" s="26">
        <f>((R47*8*1024)/$T47)/1000</f>
        <v/>
      </c>
    </row>
    <row r="48">
      <c r="A48" s="7" t="inlineStr">
        <is>
          <t>Sinkhorn row norm</t>
        </is>
      </c>
      <c r="B48" s="7" t="inlineStr">
        <is>
          <t>exp2</t>
        </is>
      </c>
      <c r="C48" s="11" t="n">
        <v>513</v>
      </c>
      <c r="D48" s="11" t="n">
        <v>513</v>
      </c>
      <c r="E48" s="11" t="n">
        <v>0</v>
      </c>
      <c r="F48" s="2" t="n">
        <v>0</v>
      </c>
      <c r="G48" s="2" t="n">
        <v>0</v>
      </c>
      <c r="H48" s="2" t="n">
        <v>0</v>
      </c>
      <c r="I48" s="3" t="n">
        <v>0</v>
      </c>
      <c r="J48" s="3" t="n">
        <v>0</v>
      </c>
      <c r="K48" s="3" t="n">
        <v>0</v>
      </c>
      <c r="L48" s="13" t="n">
        <v>513</v>
      </c>
      <c r="M48" s="13" t="n">
        <v>513</v>
      </c>
      <c r="N48" s="13" t="n">
        <v>0</v>
      </c>
      <c r="O48" s="3">
        <f>C48*D48/1024</f>
        <v/>
      </c>
      <c r="P48" s="3" t="n">
        <v>0</v>
      </c>
      <c r="Q48" s="3" t="n">
        <v>0</v>
      </c>
      <c r="R48" s="3">
        <f>L48*M48/1024</f>
        <v/>
      </c>
      <c r="S48" s="3">
        <f>C48*D48/128</f>
        <v/>
      </c>
      <c r="T48" s="3">
        <f>(S48/$Y$2)/1000</f>
        <v/>
      </c>
      <c r="U48" s="26">
        <f>((O48*8*1024)/$T48)/1000</f>
        <v/>
      </c>
      <c r="V48" s="26">
        <f>((P48*8*1024)/$T48)/1000</f>
        <v/>
      </c>
      <c r="W48" s="26">
        <f>((Q48*8*1024)/$T48)/1000</f>
        <v/>
      </c>
      <c r="X48" s="26">
        <f>((R48*8*1024)/$T48)/1000</f>
        <v/>
      </c>
    </row>
    <row r="49">
      <c r="A49" s="7" t="inlineStr">
        <is>
          <t>Sinkhorn row norm</t>
        </is>
      </c>
      <c r="B49" s="7" t="inlineStr">
        <is>
          <t>sum</t>
        </is>
      </c>
      <c r="C49" s="11" t="n">
        <v>513</v>
      </c>
      <c r="D49" s="11" t="n">
        <v>513</v>
      </c>
      <c r="E49" s="11" t="n">
        <v>0</v>
      </c>
      <c r="F49" s="2" t="n">
        <v>0</v>
      </c>
      <c r="G49" s="2" t="n">
        <v>0</v>
      </c>
      <c r="H49" s="2" t="n">
        <v>0</v>
      </c>
      <c r="I49" s="3" t="n">
        <v>0</v>
      </c>
      <c r="J49" s="3" t="n">
        <v>0</v>
      </c>
      <c r="K49" s="3" t="n">
        <v>0</v>
      </c>
      <c r="L49" s="13" t="n">
        <v>513</v>
      </c>
      <c r="M49" s="13" t="n">
        <v>513</v>
      </c>
      <c r="N49" s="13" t="n">
        <v>0</v>
      </c>
      <c r="O49" s="3">
        <f>C49*D49/1024</f>
        <v/>
      </c>
      <c r="P49" s="3" t="n">
        <v>0</v>
      </c>
      <c r="Q49" s="3" t="n">
        <v>0</v>
      </c>
      <c r="R49" s="3">
        <f>L49*M49/1024</f>
        <v/>
      </c>
      <c r="S49" s="3">
        <f>C49*D49/128</f>
        <v/>
      </c>
      <c r="T49" s="3">
        <f>(S49/$Y$2)/1000</f>
        <v/>
      </c>
      <c r="U49" s="26">
        <f>((O49*8*1024)/$T49)/1000</f>
        <v/>
      </c>
      <c r="V49" s="26">
        <f>((P49*8*1024)/$T49)/1000</f>
        <v/>
      </c>
      <c r="W49" s="26">
        <f>((Q49*8*1024)/$T49)/1000</f>
        <v/>
      </c>
      <c r="X49" s="26">
        <f>((R49*8*1024)/$T49)/1000</f>
        <v/>
      </c>
    </row>
    <row r="50">
      <c r="A50" s="7" t="inlineStr">
        <is>
          <t>Sinkhorn row norm</t>
        </is>
      </c>
      <c r="B50" s="7" t="inlineStr">
        <is>
          <t>log</t>
        </is>
      </c>
      <c r="C50" s="11" t="n">
        <v>513</v>
      </c>
      <c r="D50" s="11" t="n">
        <v>513</v>
      </c>
      <c r="E50" s="11" t="n">
        <v>0</v>
      </c>
      <c r="F50" s="2" t="n">
        <v>0</v>
      </c>
      <c r="G50" s="2" t="n">
        <v>0</v>
      </c>
      <c r="H50" s="2" t="n">
        <v>0</v>
      </c>
      <c r="I50" s="3" t="n">
        <v>0</v>
      </c>
      <c r="J50" s="3" t="n">
        <v>0</v>
      </c>
      <c r="K50" s="3" t="n">
        <v>0</v>
      </c>
      <c r="L50" s="13" t="n">
        <v>513</v>
      </c>
      <c r="M50" s="13" t="n">
        <v>513</v>
      </c>
      <c r="N50" s="13" t="n">
        <v>0</v>
      </c>
      <c r="O50" s="3">
        <f>C50*D50/1024</f>
        <v/>
      </c>
      <c r="P50" s="3" t="n">
        <v>0</v>
      </c>
      <c r="Q50" s="3" t="n">
        <v>0</v>
      </c>
      <c r="R50" s="3">
        <f>L50*M50/1024</f>
        <v/>
      </c>
      <c r="S50" s="3">
        <f>C50*D50/128</f>
        <v/>
      </c>
      <c r="T50" s="3">
        <f>(S50/$Y$2)/1000</f>
        <v/>
      </c>
      <c r="U50" s="26">
        <f>((O50*8*1024)/$T50)/1000</f>
        <v/>
      </c>
      <c r="V50" s="26">
        <f>((P50*8*1024)/$T50)/1000</f>
        <v/>
      </c>
      <c r="W50" s="26">
        <f>((Q50*8*1024)/$T50)/1000</f>
        <v/>
      </c>
      <c r="X50" s="26">
        <f>((R50*8*1024)/$T50)/1000</f>
        <v/>
      </c>
    </row>
    <row r="51">
      <c r="A51" s="7" t="inlineStr">
        <is>
          <t>Sinkhorn row norm</t>
        </is>
      </c>
      <c r="B51" s="7" t="inlineStr">
        <is>
          <t>subtract</t>
        </is>
      </c>
      <c r="C51" s="11" t="n">
        <v>513</v>
      </c>
      <c r="D51" s="11" t="n">
        <v>513</v>
      </c>
      <c r="E51" s="11" t="n">
        <v>0</v>
      </c>
      <c r="F51" s="2" t="n">
        <v>0</v>
      </c>
      <c r="G51" s="2" t="n">
        <v>0</v>
      </c>
      <c r="H51" s="2" t="n">
        <v>0</v>
      </c>
      <c r="I51" s="3" t="n">
        <v>0</v>
      </c>
      <c r="J51" s="3" t="n">
        <v>0</v>
      </c>
      <c r="K51" s="3" t="n">
        <v>0</v>
      </c>
      <c r="L51" s="13" t="n">
        <v>513</v>
      </c>
      <c r="M51" s="13" t="n">
        <v>513</v>
      </c>
      <c r="N51" s="13" t="n">
        <v>0</v>
      </c>
      <c r="O51" s="3">
        <f>C51*D51/1024</f>
        <v/>
      </c>
      <c r="P51" s="3" t="n">
        <v>0</v>
      </c>
      <c r="Q51" s="3" t="n">
        <v>0</v>
      </c>
      <c r="R51" s="3">
        <f>L51*M51/1024</f>
        <v/>
      </c>
      <c r="S51" s="3">
        <f>C51*D51/128</f>
        <v/>
      </c>
      <c r="T51" s="3">
        <f>(S51/$Y$2)/1000</f>
        <v/>
      </c>
      <c r="U51" s="26">
        <f>((O51*8*1024)/$T51)/1000</f>
        <v/>
      </c>
      <c r="V51" s="26">
        <f>((P51*8*1024)/$T51)/1000</f>
        <v/>
      </c>
      <c r="W51" s="26">
        <f>((Q51*8*1024)/$T51)/1000</f>
        <v/>
      </c>
      <c r="X51" s="26">
        <f>((R51*8*1024)/$T51)/1000</f>
        <v/>
      </c>
    </row>
    <row r="52">
      <c r="A52" s="7" t="inlineStr">
        <is>
          <t>Sinkhorn col transpose</t>
        </is>
      </c>
      <c r="B52" s="7" t="inlineStr">
        <is>
          <t>move</t>
        </is>
      </c>
      <c r="C52" s="11" t="n">
        <v>513</v>
      </c>
      <c r="D52" s="11" t="n">
        <v>513</v>
      </c>
      <c r="E52" s="11" t="n">
        <v>0</v>
      </c>
      <c r="F52" s="2" t="n">
        <v>0</v>
      </c>
      <c r="G52" s="2" t="n">
        <v>0</v>
      </c>
      <c r="H52" s="2" t="n">
        <v>0</v>
      </c>
      <c r="I52" s="3" t="n">
        <v>0</v>
      </c>
      <c r="J52" s="3" t="n">
        <v>0</v>
      </c>
      <c r="K52" s="3" t="n">
        <v>0</v>
      </c>
      <c r="L52" s="13" t="n">
        <v>513</v>
      </c>
      <c r="M52" s="13" t="n">
        <v>513</v>
      </c>
      <c r="N52" s="13" t="n">
        <v>0</v>
      </c>
      <c r="O52" s="3">
        <f>C52*D52/1024</f>
        <v/>
      </c>
      <c r="P52" s="3" t="n">
        <v>0</v>
      </c>
      <c r="Q52" s="3" t="n">
        <v>0</v>
      </c>
      <c r="R52" s="3">
        <f>L52*M52/1024</f>
        <v/>
      </c>
      <c r="S52" s="3">
        <f>C52*D52/128</f>
        <v/>
      </c>
      <c r="T52" s="3">
        <f>(S52/$Y$2)/1000</f>
        <v/>
      </c>
      <c r="U52" s="26">
        <f>((O52*8*1024)/$T52)/1000</f>
        <v/>
      </c>
      <c r="V52" s="26">
        <f>((P52*8*1024)/$T52)/1000</f>
        <v/>
      </c>
      <c r="W52" s="26">
        <f>((Q52*8*1024)/$T52)/1000</f>
        <v/>
      </c>
      <c r="X52" s="26">
        <f>((R52*8*1024)/$T52)/1000</f>
        <v/>
      </c>
    </row>
    <row r="53">
      <c r="A53" s="7" t="inlineStr">
        <is>
          <t>Sinkhorn col norm</t>
        </is>
      </c>
      <c r="B53" s="7" t="inlineStr">
        <is>
          <t>max</t>
        </is>
      </c>
      <c r="C53" s="11" t="n">
        <v>513</v>
      </c>
      <c r="D53" s="11" t="n">
        <v>513</v>
      </c>
      <c r="E53" s="11" t="n">
        <v>0</v>
      </c>
      <c r="F53" s="2" t="n">
        <v>0</v>
      </c>
      <c r="G53" s="2" t="n">
        <v>0</v>
      </c>
      <c r="H53" s="2" t="n">
        <v>0</v>
      </c>
      <c r="I53" s="3" t="n">
        <v>0</v>
      </c>
      <c r="J53" s="3" t="n">
        <v>0</v>
      </c>
      <c r="K53" s="3" t="n">
        <v>0</v>
      </c>
      <c r="L53" s="13" t="n">
        <v>513</v>
      </c>
      <c r="M53" s="13" t="n">
        <v>513</v>
      </c>
      <c r="N53" s="13" t="n">
        <v>0</v>
      </c>
      <c r="O53" s="3">
        <f>C53*D53/1024</f>
        <v/>
      </c>
      <c r="P53" s="3" t="n">
        <v>0</v>
      </c>
      <c r="Q53" s="3" t="n">
        <v>0</v>
      </c>
      <c r="R53" s="3">
        <f>L53*M53/1024</f>
        <v/>
      </c>
      <c r="S53" s="3">
        <f>C53*D53/128</f>
        <v/>
      </c>
      <c r="T53" s="3">
        <f>(S53/$Y$2)/1000</f>
        <v/>
      </c>
      <c r="U53" s="26">
        <f>((O53*8*1024)/$T53)/1000</f>
        <v/>
      </c>
      <c r="V53" s="26">
        <f>((P53*8*1024)/$T53)/1000</f>
        <v/>
      </c>
      <c r="W53" s="26">
        <f>((Q53*8*1024)/$T53)/1000</f>
        <v/>
      </c>
      <c r="X53" s="26">
        <f>((R53*8*1024)/$T53)/1000</f>
        <v/>
      </c>
    </row>
    <row r="54">
      <c r="A54" s="7" t="inlineStr">
        <is>
          <t>Sinkhorn col norm</t>
        </is>
      </c>
      <c r="B54" s="7" t="inlineStr">
        <is>
          <t>exp2</t>
        </is>
      </c>
      <c r="C54" s="11" t="n">
        <v>513</v>
      </c>
      <c r="D54" s="11" t="n">
        <v>513</v>
      </c>
      <c r="E54" s="11" t="n">
        <v>0</v>
      </c>
      <c r="F54" s="2" t="n">
        <v>0</v>
      </c>
      <c r="G54" s="2" t="n">
        <v>0</v>
      </c>
      <c r="H54" s="2" t="n">
        <v>0</v>
      </c>
      <c r="I54" s="3" t="n">
        <v>0</v>
      </c>
      <c r="J54" s="3" t="n">
        <v>0</v>
      </c>
      <c r="K54" s="3" t="n">
        <v>0</v>
      </c>
      <c r="L54" s="13" t="n">
        <v>513</v>
      </c>
      <c r="M54" s="13" t="n">
        <v>513</v>
      </c>
      <c r="N54" s="13" t="n">
        <v>0</v>
      </c>
      <c r="O54" s="3">
        <f>C54*D54/1024</f>
        <v/>
      </c>
      <c r="P54" s="3" t="n">
        <v>0</v>
      </c>
      <c r="Q54" s="3" t="n">
        <v>0</v>
      </c>
      <c r="R54" s="3">
        <f>L54*M54/1024</f>
        <v/>
      </c>
      <c r="S54" s="3">
        <f>C54*D54/128</f>
        <v/>
      </c>
      <c r="T54" s="3">
        <f>(S54/$Y$2)/1000</f>
        <v/>
      </c>
      <c r="U54" s="26">
        <f>((O54*8*1024)/$T54)/1000</f>
        <v/>
      </c>
      <c r="V54" s="26">
        <f>((P54*8*1024)/$T54)/1000</f>
        <v/>
      </c>
      <c r="W54" s="26">
        <f>((Q54*8*1024)/$T54)/1000</f>
        <v/>
      </c>
      <c r="X54" s="26">
        <f>((R54*8*1024)/$T54)/1000</f>
        <v/>
      </c>
    </row>
    <row r="55">
      <c r="A55" s="7" t="inlineStr">
        <is>
          <t>Sinkhorn col norm</t>
        </is>
      </c>
      <c r="B55" s="7" t="inlineStr">
        <is>
          <t>sum</t>
        </is>
      </c>
      <c r="C55" s="11" t="n">
        <v>513</v>
      </c>
      <c r="D55" s="11" t="n">
        <v>513</v>
      </c>
      <c r="E55" s="11" t="n">
        <v>0</v>
      </c>
      <c r="F55" s="2" t="n">
        <v>0</v>
      </c>
      <c r="G55" s="2" t="n">
        <v>0</v>
      </c>
      <c r="H55" s="2" t="n">
        <v>0</v>
      </c>
      <c r="I55" s="3" t="n">
        <v>0</v>
      </c>
      <c r="J55" s="3" t="n">
        <v>0</v>
      </c>
      <c r="K55" s="3" t="n">
        <v>0</v>
      </c>
      <c r="L55" s="13" t="n">
        <v>513</v>
      </c>
      <c r="M55" s="13" t="n">
        <v>513</v>
      </c>
      <c r="N55" s="13" t="n">
        <v>0</v>
      </c>
      <c r="O55" s="3">
        <f>C55*D55/1024</f>
        <v/>
      </c>
      <c r="P55" s="3" t="n">
        <v>0</v>
      </c>
      <c r="Q55" s="3" t="n">
        <v>0</v>
      </c>
      <c r="R55" s="3">
        <f>L55*M55/1024</f>
        <v/>
      </c>
      <c r="S55" s="3">
        <f>C55*D55/128</f>
        <v/>
      </c>
      <c r="T55" s="3">
        <f>(S55/$Y$2)/1000</f>
        <v/>
      </c>
      <c r="U55" s="26">
        <f>((O55*8*1024)/$T55)/1000</f>
        <v/>
      </c>
      <c r="V55" s="26">
        <f>((P55*8*1024)/$T55)/1000</f>
        <v/>
      </c>
      <c r="W55" s="26">
        <f>((Q55*8*1024)/$T55)/1000</f>
        <v/>
      </c>
      <c r="X55" s="26">
        <f>((R55*8*1024)/$T55)/1000</f>
        <v/>
      </c>
    </row>
    <row r="56">
      <c r="A56" s="7" t="inlineStr">
        <is>
          <t>Sinkhorn col norm</t>
        </is>
      </c>
      <c r="B56" s="7" t="inlineStr">
        <is>
          <t>log</t>
        </is>
      </c>
      <c r="C56" s="11" t="n">
        <v>513</v>
      </c>
      <c r="D56" s="11" t="n">
        <v>513</v>
      </c>
      <c r="E56" s="11" t="n">
        <v>0</v>
      </c>
      <c r="F56" s="2" t="n">
        <v>0</v>
      </c>
      <c r="G56" s="2" t="n">
        <v>0</v>
      </c>
      <c r="H56" s="2" t="n">
        <v>0</v>
      </c>
      <c r="I56" s="3" t="n">
        <v>0</v>
      </c>
      <c r="J56" s="3" t="n">
        <v>0</v>
      </c>
      <c r="K56" s="3" t="n">
        <v>0</v>
      </c>
      <c r="L56" s="13" t="n">
        <v>513</v>
      </c>
      <c r="M56" s="13" t="n">
        <v>513</v>
      </c>
      <c r="N56" s="13" t="n">
        <v>0</v>
      </c>
      <c r="O56" s="3">
        <f>C56*D56/1024</f>
        <v/>
      </c>
      <c r="P56" s="3" t="n">
        <v>0</v>
      </c>
      <c r="Q56" s="3" t="n">
        <v>0</v>
      </c>
      <c r="R56" s="3">
        <f>L56*M56/1024</f>
        <v/>
      </c>
      <c r="S56" s="3">
        <f>C56*D56/128</f>
        <v/>
      </c>
      <c r="T56" s="3">
        <f>(S56/$Y$2)/1000</f>
        <v/>
      </c>
      <c r="U56" s="26">
        <f>((O56*8*1024)/$T56)/1000</f>
        <v/>
      </c>
      <c r="V56" s="26">
        <f>((P56*8*1024)/$T56)/1000</f>
        <v/>
      </c>
      <c r="W56" s="26">
        <f>((Q56*8*1024)/$T56)/1000</f>
        <v/>
      </c>
      <c r="X56" s="26">
        <f>((R56*8*1024)/$T56)/1000</f>
        <v/>
      </c>
    </row>
    <row r="57">
      <c r="A57" s="7" t="inlineStr">
        <is>
          <t>Sinkhorn col norm</t>
        </is>
      </c>
      <c r="B57" s="7" t="inlineStr">
        <is>
          <t>subtract</t>
        </is>
      </c>
      <c r="C57" s="11" t="n">
        <v>513</v>
      </c>
      <c r="D57" s="11" t="n">
        <v>513</v>
      </c>
      <c r="E57" s="11" t="n">
        <v>0</v>
      </c>
      <c r="F57" s="2" t="n">
        <v>0</v>
      </c>
      <c r="G57" s="2" t="n">
        <v>0</v>
      </c>
      <c r="H57" s="2" t="n">
        <v>0</v>
      </c>
      <c r="I57" s="3" t="n">
        <v>0</v>
      </c>
      <c r="J57" s="3" t="n">
        <v>0</v>
      </c>
      <c r="K57" s="3" t="n">
        <v>0</v>
      </c>
      <c r="L57" s="13" t="n">
        <v>513</v>
      </c>
      <c r="M57" s="13" t="n">
        <v>513</v>
      </c>
      <c r="N57" s="13" t="n">
        <v>0</v>
      </c>
      <c r="O57" s="3">
        <f>C57*D57/1024</f>
        <v/>
      </c>
      <c r="P57" s="3" t="n">
        <v>0</v>
      </c>
      <c r="Q57" s="3" t="n">
        <v>0</v>
      </c>
      <c r="R57" s="3">
        <f>L57*M57/1024</f>
        <v/>
      </c>
      <c r="S57" s="3">
        <f>C57*D57/128</f>
        <v/>
      </c>
      <c r="T57" s="3">
        <f>(S57/$Y$2)/1000</f>
        <v/>
      </c>
      <c r="U57" s="26">
        <f>((O57*8*1024)/$T57)/1000</f>
        <v/>
      </c>
      <c r="V57" s="26">
        <f>((P57*8*1024)/$T57)/1000</f>
        <v/>
      </c>
      <c r="W57" s="26">
        <f>((Q57*8*1024)/$T57)/1000</f>
        <v/>
      </c>
      <c r="X57" s="26">
        <f>((R57*8*1024)/$T57)/1000</f>
        <v/>
      </c>
      <c r="Y57" s="17" t="inlineStr">
        <is>
          <t>Sinkhorn total (x100) [us] -&gt;</t>
        </is>
      </c>
      <c r="Z57" s="17">
        <f>100*(SUM(T47:T57))</f>
        <v/>
      </c>
    </row>
    <row r="58">
      <c r="A58" s="7" t="inlineStr">
        <is>
          <t>match readout (dual-softmax)</t>
        </is>
      </c>
      <c r="B58" s="7" t="inlineStr">
        <is>
          <t>max</t>
        </is>
      </c>
      <c r="C58" s="11" t="n">
        <v>513</v>
      </c>
      <c r="D58" s="11" t="n">
        <v>513</v>
      </c>
      <c r="E58" s="11" t="n">
        <v>0</v>
      </c>
      <c r="F58" s="2" t="n">
        <v>0</v>
      </c>
      <c r="G58" s="2" t="n">
        <v>0</v>
      </c>
      <c r="H58" s="2" t="n">
        <v>0</v>
      </c>
      <c r="I58" s="3" t="n">
        <v>0</v>
      </c>
      <c r="J58" s="3" t="n">
        <v>0</v>
      </c>
      <c r="K58" s="3" t="n">
        <v>0</v>
      </c>
      <c r="L58" s="13" t="n">
        <v>513</v>
      </c>
      <c r="M58" s="13" t="n">
        <v>513</v>
      </c>
      <c r="N58" s="13" t="n">
        <v>0</v>
      </c>
      <c r="O58" s="3">
        <f>C58*D58/1024</f>
        <v/>
      </c>
      <c r="P58" s="3" t="n">
        <v>0</v>
      </c>
      <c r="Q58" s="3" t="n">
        <v>0</v>
      </c>
      <c r="R58" s="3">
        <f>L58*M58/1024</f>
        <v/>
      </c>
      <c r="S58" s="3">
        <f>C58*D58/128</f>
        <v/>
      </c>
      <c r="T58" s="3">
        <f>(S58/$Y$2)/1000</f>
        <v/>
      </c>
      <c r="U58" s="26">
        <f>((O58*8*1024)/$T58)/1000</f>
        <v/>
      </c>
      <c r="V58" s="26">
        <f>((P58*8*1024)/$T58)/1000</f>
        <v/>
      </c>
      <c r="W58" s="26">
        <f>((Q58*8*1024)/$T58)/1000</f>
        <v/>
      </c>
      <c r="X58" s="26">
        <f>((R58*8*1024)/$T58)/1000</f>
        <v/>
      </c>
    </row>
    <row r="59">
      <c r="A59" s="7" t="inlineStr">
        <is>
          <t>match readout (dual-softmax)</t>
        </is>
      </c>
      <c r="B59" s="7" t="inlineStr">
        <is>
          <t>exp2</t>
        </is>
      </c>
      <c r="C59" s="11" t="n">
        <v>513</v>
      </c>
      <c r="D59" s="11" t="n">
        <v>513</v>
      </c>
      <c r="E59" s="11" t="n">
        <v>0</v>
      </c>
      <c r="F59" s="2" t="n">
        <v>0</v>
      </c>
      <c r="G59" s="2" t="n">
        <v>0</v>
      </c>
      <c r="H59" s="2" t="n">
        <v>0</v>
      </c>
      <c r="I59" s="3" t="n">
        <v>0</v>
      </c>
      <c r="J59" s="3" t="n">
        <v>0</v>
      </c>
      <c r="K59" s="3" t="n">
        <v>0</v>
      </c>
      <c r="L59" s="13" t="n">
        <v>513</v>
      </c>
      <c r="M59" s="13" t="n">
        <v>513</v>
      </c>
      <c r="N59" s="13" t="n">
        <v>0</v>
      </c>
      <c r="O59" s="3">
        <f>C59*D59/1024</f>
        <v/>
      </c>
      <c r="P59" s="3" t="n">
        <v>0</v>
      </c>
      <c r="Q59" s="3" t="n">
        <v>0</v>
      </c>
      <c r="R59" s="3">
        <f>L59*M59/1024</f>
        <v/>
      </c>
      <c r="S59" s="3">
        <f>C59*D59/128</f>
        <v/>
      </c>
      <c r="T59" s="3">
        <f>(S59/$Y$2)/1000</f>
        <v/>
      </c>
      <c r="U59" s="26">
        <f>((O59*8*1024)/$T59)/1000</f>
        <v/>
      </c>
      <c r="V59" s="26">
        <f>((P59*8*1024)/$T59)/1000</f>
        <v/>
      </c>
      <c r="W59" s="26">
        <f>((Q59*8*1024)/$T59)/1000</f>
        <v/>
      </c>
      <c r="X59" s="26">
        <f>((R59*8*1024)/$T59)/1000</f>
        <v/>
      </c>
    </row>
    <row r="60">
      <c r="A60" s="7" t="inlineStr">
        <is>
          <t>match readout (dual-softmax)</t>
        </is>
      </c>
      <c r="B60" s="7" t="inlineStr">
        <is>
          <t>sum</t>
        </is>
      </c>
      <c r="C60" s="11" t="n">
        <v>513</v>
      </c>
      <c r="D60" s="11" t="n">
        <v>513</v>
      </c>
      <c r="E60" s="11" t="n">
        <v>0</v>
      </c>
      <c r="F60" s="2" t="n">
        <v>0</v>
      </c>
      <c r="G60" s="2" t="n">
        <v>0</v>
      </c>
      <c r="H60" s="2" t="n">
        <v>0</v>
      </c>
      <c r="I60" s="3" t="n">
        <v>0</v>
      </c>
      <c r="J60" s="3" t="n">
        <v>0</v>
      </c>
      <c r="K60" s="3" t="n">
        <v>0</v>
      </c>
      <c r="L60" s="13" t="n">
        <v>513</v>
      </c>
      <c r="M60" s="13" t="n">
        <v>513</v>
      </c>
      <c r="N60" s="13" t="n">
        <v>0</v>
      </c>
      <c r="O60" s="3">
        <f>C60*D60/1024</f>
        <v/>
      </c>
      <c r="P60" s="3" t="n">
        <v>0</v>
      </c>
      <c r="Q60" s="3" t="n">
        <v>0</v>
      </c>
      <c r="R60" s="3">
        <f>L60*M60/1024</f>
        <v/>
      </c>
      <c r="S60" s="3">
        <f>C60*D60/128</f>
        <v/>
      </c>
      <c r="T60" s="3">
        <f>(S60/$Y$2)/1000</f>
        <v/>
      </c>
      <c r="U60" s="26">
        <f>((O60*8*1024)/$T60)/1000</f>
        <v/>
      </c>
      <c r="V60" s="26">
        <f>((P60*8*1024)/$T60)/1000</f>
        <v/>
      </c>
      <c r="W60" s="26">
        <f>((Q60*8*1024)/$T60)/1000</f>
        <v/>
      </c>
      <c r="X60" s="26">
        <f>((R60*8*1024)/$T60)/1000</f>
        <v/>
      </c>
    </row>
    <row r="61">
      <c r="A61" s="7" t="inlineStr">
        <is>
          <t>match readout (dual-softmax)</t>
        </is>
      </c>
      <c r="B61" s="7" t="inlineStr">
        <is>
          <t>subtract</t>
        </is>
      </c>
      <c r="C61" s="11" t="n">
        <v>513</v>
      </c>
      <c r="D61" s="11" t="n">
        <v>513</v>
      </c>
      <c r="E61" s="11" t="n">
        <v>0</v>
      </c>
      <c r="F61" s="2" t="n">
        <v>0</v>
      </c>
      <c r="G61" s="2" t="n">
        <v>0</v>
      </c>
      <c r="H61" s="2" t="n">
        <v>0</v>
      </c>
      <c r="I61" s="3" t="n">
        <v>0</v>
      </c>
      <c r="J61" s="3" t="n">
        <v>0</v>
      </c>
      <c r="K61" s="3" t="n">
        <v>0</v>
      </c>
      <c r="L61" s="13" t="n">
        <v>513</v>
      </c>
      <c r="M61" s="13" t="n">
        <v>513</v>
      </c>
      <c r="N61" s="13" t="n">
        <v>0</v>
      </c>
      <c r="O61" s="3">
        <f>C61*D61/1024</f>
        <v/>
      </c>
      <c r="P61" s="3" t="n">
        <v>0</v>
      </c>
      <c r="Q61" s="3" t="n">
        <v>0</v>
      </c>
      <c r="R61" s="3">
        <f>L61*M61/1024</f>
        <v/>
      </c>
      <c r="S61" s="3">
        <f>C61*D61/128</f>
        <v/>
      </c>
      <c r="T61" s="3">
        <f>(S61/$Y$2)/1000</f>
        <v/>
      </c>
      <c r="U61" s="26">
        <f>((O61*8*1024)/$T61)/1000</f>
        <v/>
      </c>
      <c r="V61" s="26">
        <f>((P61*8*1024)/$T61)/1000</f>
        <v/>
      </c>
      <c r="W61" s="26">
        <f>((Q61*8*1024)/$T61)/1000</f>
        <v/>
      </c>
      <c r="X61" s="26">
        <f>((R61*8*1024)/$T61)/1000</f>
        <v/>
      </c>
    </row>
    <row r="62">
      <c r="A62" s="7" t="inlineStr">
        <is>
          <t>match readout (dual-softmax)</t>
        </is>
      </c>
      <c r="B62" s="7" t="inlineStr">
        <is>
          <t>multiply</t>
        </is>
      </c>
      <c r="C62" s="11" t="n">
        <v>513</v>
      </c>
      <c r="D62" s="11" t="n">
        <v>513</v>
      </c>
      <c r="E62" s="11" t="n">
        <v>0</v>
      </c>
      <c r="F62" s="2" t="n">
        <v>0</v>
      </c>
      <c r="G62" s="2" t="n">
        <v>0</v>
      </c>
      <c r="H62" s="2" t="n">
        <v>0</v>
      </c>
      <c r="I62" s="3" t="n">
        <v>0</v>
      </c>
      <c r="J62" s="3" t="n">
        <v>0</v>
      </c>
      <c r="K62" s="3" t="n">
        <v>0</v>
      </c>
      <c r="L62" s="13" t="n">
        <v>513</v>
      </c>
      <c r="M62" s="13" t="n">
        <v>513</v>
      </c>
      <c r="N62" s="13" t="n">
        <v>0</v>
      </c>
      <c r="O62" s="3">
        <f>C62*D62/1024</f>
        <v/>
      </c>
      <c r="P62" s="3" t="n">
        <v>0</v>
      </c>
      <c r="Q62" s="3" t="n">
        <v>0</v>
      </c>
      <c r="R62" s="3">
        <f>L62*M62/1024</f>
        <v/>
      </c>
      <c r="S62" s="3">
        <f>C62*D62/128</f>
        <v/>
      </c>
      <c r="T62" s="3">
        <f>(S62/$Y$2)/1000</f>
        <v/>
      </c>
      <c r="U62" s="26">
        <f>((O62*8*1024)/$T62)/1000</f>
        <v/>
      </c>
      <c r="V62" s="26">
        <f>((P62*8*1024)/$T62)/1000</f>
        <v/>
      </c>
      <c r="W62" s="26">
        <f>((Q62*8*1024)/$T62)/1000</f>
        <v/>
      </c>
      <c r="X62" s="26">
        <f>((R62*8*1024)/$T62)/1000</f>
        <v/>
      </c>
    </row>
    <row r="64">
      <c r="A64" s="7" t="inlineStr">
        <is>
          <t>GRAND TOTAL [us]</t>
        </is>
      </c>
      <c r="Y64" s="17" t="inlineStr">
        <is>
          <t>variant: original</t>
        </is>
      </c>
      <c r="Z64" s="17">
        <f>Z11+Z40+2*(SUM(T41:T42))+SUM(T43:T44)+T45+Z57+SUM(T58:T62)</f>
        <v/>
      </c>
    </row>
    <row r="65">
      <c r="A65" s="7" t="inlineStr">
        <is>
          <t>FPS (image pair)</t>
        </is>
      </c>
      <c r="Y65" s="17" t="inlineStr">
        <is>
          <t>frames / sec -&gt;</t>
        </is>
      </c>
      <c r="Z65" s="17">
        <f>1000000/Z64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.109375" customWidth="1" min="1" max="1"/>
    <col width="20.44140625" customWidth="1" min="2" max="2"/>
    <col width="4.109375" customWidth="1" min="3" max="3"/>
    <col width="13" customWidth="1" min="4" max="4"/>
    <col width="6.109375" customWidth="1" min="5" max="5"/>
    <col width="11.6640625" customWidth="1" min="6" max="6"/>
    <col width="5.44140625" customWidth="1" min="7" max="7"/>
    <col width="6.109375" customWidth="1" min="8" max="8"/>
    <col width="9.109375" customWidth="1" min="9" max="9"/>
    <col width="13" customWidth="1" min="10" max="10"/>
    <col width="13" customWidth="1" min="11" max="11"/>
    <col width="5.44140625" customWidth="1" min="12" max="12"/>
    <col width="13" customWidth="1" min="13" max="13"/>
    <col width="6.109375" customWidth="1" min="14" max="14"/>
    <col width="17.5546875" customWidth="1" min="15" max="15"/>
    <col width="13" customWidth="1" min="16" max="16"/>
    <col width="17.5546875" customWidth="1" min="17" max="17"/>
    <col width="17.77734375" customWidth="1" min="18" max="18"/>
    <col width="9.77734375" customWidth="1" min="19" max="19"/>
    <col width="11.21875" customWidth="1" min="20" max="20"/>
    <col width="10.88671875" customWidth="1" min="21" max="21"/>
    <col width="13" customWidth="1" min="22" max="22"/>
    <col width="10.5546875" customWidth="1" min="23" max="23"/>
    <col width="12.77734375" customWidth="1" min="24" max="24"/>
    <col width="30.33203125" customWidth="1" min="25" max="25"/>
    <col width="12.77734375" customWidth="1" min="26" max="26"/>
  </cols>
  <sheetData>
    <row r="1">
      <c r="A1" s="7" t="inlineStr">
        <is>
          <t>Layer</t>
        </is>
      </c>
      <c r="B1" s="7" t="inlineStr">
        <is>
          <t>Type</t>
        </is>
      </c>
      <c r="C1" s="10" t="inlineStr">
        <is>
          <t>H</t>
        </is>
      </c>
      <c r="D1" s="10" t="inlineStr">
        <is>
          <t>W</t>
        </is>
      </c>
      <c r="E1" s="10" t="inlineStr">
        <is>
          <t>Cin</t>
        </is>
      </c>
      <c r="F1" s="1" t="inlineStr">
        <is>
          <t>Filter/Weight</t>
        </is>
      </c>
      <c r="G1" s="1" t="inlineStr">
        <is>
          <t>Cin</t>
        </is>
      </c>
      <c r="H1" s="1" t="inlineStr">
        <is>
          <t>Cout</t>
        </is>
      </c>
      <c r="I1" s="4" t="inlineStr">
        <is>
          <t>BN</t>
        </is>
      </c>
      <c r="J1" s="4" t="inlineStr">
        <is>
          <t>D</t>
        </is>
      </c>
      <c r="K1" s="4" t="inlineStr">
        <is>
          <t>None</t>
        </is>
      </c>
      <c r="L1" s="14" t="inlineStr">
        <is>
          <t>H</t>
        </is>
      </c>
      <c r="M1" s="14" t="inlineStr">
        <is>
          <t>W</t>
        </is>
      </c>
      <c r="N1" s="14" t="inlineStr">
        <is>
          <t>Cin</t>
        </is>
      </c>
      <c r="O1" s="4" t="inlineStr">
        <is>
          <t>Input 1 Memory(kB)</t>
        </is>
      </c>
      <c r="P1" s="4" t="inlineStr">
        <is>
          <t>Input 2 Memory(kB)</t>
        </is>
      </c>
      <c r="Q1" s="4" t="inlineStr">
        <is>
          <t>Input 3 Memory(kB)</t>
        </is>
      </c>
      <c r="R1" s="4" t="inlineStr">
        <is>
          <t>Output Memory(kB)</t>
        </is>
      </c>
      <c r="S1" s="4" t="inlineStr">
        <is>
          <t xml:space="preserve">Cycles </t>
        </is>
      </c>
      <c r="T1" s="4" t="inlineStr">
        <is>
          <t>Time[us]</t>
        </is>
      </c>
      <c r="U1" s="4" t="inlineStr">
        <is>
          <t>BW 1(Gbps)</t>
        </is>
      </c>
      <c r="V1" s="4" t="inlineStr">
        <is>
          <t>BW 2(Gbps)</t>
        </is>
      </c>
      <c r="W1" s="4" t="inlineStr">
        <is>
          <t>BW 3(Gbps)</t>
        </is>
      </c>
      <c r="X1" s="4" t="inlineStr">
        <is>
          <t>BW Out(Gbps)</t>
        </is>
      </c>
      <c r="Y1" s="19" t="inlineStr">
        <is>
          <t>freq Ghz</t>
        </is>
      </c>
      <c r="Z1" s="16" t="inlineStr">
        <is>
          <t>Mem BW Gbps</t>
        </is>
      </c>
    </row>
    <row r="2">
      <c r="A2" s="7" t="inlineStr">
        <is>
          <t>Input</t>
        </is>
      </c>
      <c r="B2" s="7" t="inlineStr">
        <is>
          <t>kpt+desc load</t>
        </is>
      </c>
      <c r="C2" s="11" t="n">
        <v>256</v>
      </c>
      <c r="D2" s="11" t="n">
        <v>512</v>
      </c>
      <c r="E2" s="11" t="n">
        <v>0</v>
      </c>
      <c r="F2" s="2" t="n">
        <v>0</v>
      </c>
      <c r="G2" s="2" t="n">
        <v>0</v>
      </c>
      <c r="H2" s="2" t="n">
        <v>0</v>
      </c>
      <c r="I2" s="3" t="n">
        <v>0</v>
      </c>
      <c r="J2" s="3" t="n">
        <v>0</v>
      </c>
      <c r="K2" s="3" t="n">
        <v>0</v>
      </c>
      <c r="L2" s="13" t="n">
        <v>256</v>
      </c>
      <c r="M2" s="13" t="n">
        <v>512</v>
      </c>
      <c r="N2" s="13" t="n">
        <v>0</v>
      </c>
      <c r="O2" s="3">
        <f>C2*D2/1024</f>
        <v/>
      </c>
      <c r="P2" s="3" t="n">
        <v>0</v>
      </c>
      <c r="Q2" s="3" t="n">
        <v>0</v>
      </c>
      <c r="R2" s="3">
        <f>L2*M2/1024</f>
        <v/>
      </c>
      <c r="S2" s="3" t="inlineStr">
        <is>
          <t>0</t>
        </is>
      </c>
      <c r="T2" s="3" t="n">
        <v>0</v>
      </c>
      <c r="U2" s="26" t="n">
        <v>0</v>
      </c>
      <c r="V2" s="26" t="n">
        <v>0</v>
      </c>
      <c r="W2" s="26" t="n">
        <v>0</v>
      </c>
      <c r="X2" s="26" t="n">
        <v>0</v>
      </c>
      <c r="Y2" t="n">
        <v>1</v>
      </c>
      <c r="Z2" t="n">
        <v>8</v>
      </c>
    </row>
    <row r="3">
      <c r="A3" s="7" t="inlineStr">
        <is>
          <t>KptEnc 3-&gt;32</t>
        </is>
      </c>
      <c r="B3" s="7" t="inlineStr">
        <is>
          <t>multiply</t>
        </is>
      </c>
      <c r="C3" s="11" t="n">
        <v>32</v>
      </c>
      <c r="D3" s="11" t="n">
        <v>512</v>
      </c>
      <c r="E3" s="11" t="n">
        <v>0</v>
      </c>
      <c r="F3" s="2" t="n">
        <v>0</v>
      </c>
      <c r="G3" s="2" t="n">
        <v>3</v>
      </c>
      <c r="H3" s="2" t="n">
        <v>0</v>
      </c>
      <c r="I3" s="3" t="n">
        <v>0</v>
      </c>
      <c r="J3" s="3" t="n">
        <v>0</v>
      </c>
      <c r="K3" s="3" t="n">
        <v>0</v>
      </c>
      <c r="L3" s="13" t="n">
        <v>32</v>
      </c>
      <c r="M3" s="13" t="n">
        <v>512</v>
      </c>
      <c r="N3" s="13" t="n">
        <v>0</v>
      </c>
      <c r="O3" s="3">
        <f>C3*D3/1024</f>
        <v/>
      </c>
      <c r="P3" s="3" t="n">
        <v>0</v>
      </c>
      <c r="Q3" s="3" t="n">
        <v>0</v>
      </c>
      <c r="R3" s="3">
        <f>L3*M3/1024</f>
        <v/>
      </c>
      <c r="S3" s="3">
        <f>C3*D3*G3/128</f>
        <v/>
      </c>
      <c r="T3" s="3">
        <f>(S3/$Y$2)/1000</f>
        <v/>
      </c>
      <c r="U3" s="26">
        <f>((O3*8*1024)/$T3)/1000</f>
        <v/>
      </c>
      <c r="V3" s="26">
        <f>((P3*8*1024)/$T3)/1000</f>
        <v/>
      </c>
      <c r="W3" s="26">
        <f>((Q3*8*1024)/$T3)/1000</f>
        <v/>
      </c>
      <c r="X3" s="26">
        <f>((R3*8*1024)/$T3)/1000</f>
        <v/>
      </c>
    </row>
    <row r="4">
      <c r="A4" s="7" t="inlineStr">
        <is>
          <t>KptEnc 3-&gt;32</t>
        </is>
      </c>
      <c r="B4" s="7" t="inlineStr">
        <is>
          <t>accumulate</t>
        </is>
      </c>
      <c r="C4" s="11" t="n">
        <v>32</v>
      </c>
      <c r="D4" s="11" t="n">
        <v>512</v>
      </c>
      <c r="E4" s="11" t="n">
        <v>0</v>
      </c>
      <c r="F4" s="2" t="n">
        <v>0</v>
      </c>
      <c r="G4" s="2" t="n">
        <v>3</v>
      </c>
      <c r="H4" s="2" t="n">
        <v>0</v>
      </c>
      <c r="I4" s="3" t="n">
        <v>0</v>
      </c>
      <c r="J4" s="3" t="n">
        <v>0</v>
      </c>
      <c r="K4" s="3" t="n">
        <v>0</v>
      </c>
      <c r="L4" s="13" t="n">
        <v>32</v>
      </c>
      <c r="M4" s="13" t="n">
        <v>512</v>
      </c>
      <c r="N4" s="13" t="n">
        <v>0</v>
      </c>
      <c r="O4" s="3">
        <f>C4*D4/1024</f>
        <v/>
      </c>
      <c r="P4" s="3" t="n">
        <v>0</v>
      </c>
      <c r="Q4" s="3" t="n">
        <v>0</v>
      </c>
      <c r="R4" s="3">
        <f>L4*M4/1024</f>
        <v/>
      </c>
      <c r="S4" s="3">
        <f>C4*D4*G4/128</f>
        <v/>
      </c>
      <c r="T4" s="3">
        <f>(S4/$Y$2)/1000</f>
        <v/>
      </c>
      <c r="U4" s="26">
        <f>((O4*8*1024)/$T4)/1000</f>
        <v/>
      </c>
      <c r="V4" s="26">
        <f>((P4*8*1024)/$T4)/1000</f>
        <v/>
      </c>
      <c r="W4" s="26">
        <f>((Q4*8*1024)/$T4)/1000</f>
        <v/>
      </c>
      <c r="X4" s="26">
        <f>((R4*8*1024)/$T4)/1000</f>
        <v/>
      </c>
    </row>
    <row r="5">
      <c r="A5" s="7" t="inlineStr">
        <is>
          <t>KptEnc 32-&gt;64</t>
        </is>
      </c>
      <c r="B5" s="7" t="inlineStr">
        <is>
          <t>multiply</t>
        </is>
      </c>
      <c r="C5" s="11" t="n">
        <v>64</v>
      </c>
      <c r="D5" s="11" t="n">
        <v>512</v>
      </c>
      <c r="E5" s="11" t="n">
        <v>0</v>
      </c>
      <c r="F5" s="2" t="n">
        <v>0</v>
      </c>
      <c r="G5" s="2" t="n">
        <v>32</v>
      </c>
      <c r="H5" s="2" t="n">
        <v>0</v>
      </c>
      <c r="I5" s="3" t="n">
        <v>0</v>
      </c>
      <c r="J5" s="3" t="n">
        <v>0</v>
      </c>
      <c r="K5" s="3" t="n">
        <v>0</v>
      </c>
      <c r="L5" s="13" t="n">
        <v>64</v>
      </c>
      <c r="M5" s="13" t="n">
        <v>512</v>
      </c>
      <c r="N5" s="13" t="n">
        <v>0</v>
      </c>
      <c r="O5" s="3">
        <f>C5*D5/1024</f>
        <v/>
      </c>
      <c r="P5" s="3" t="n">
        <v>0</v>
      </c>
      <c r="Q5" s="3" t="n">
        <v>0</v>
      </c>
      <c r="R5" s="3">
        <f>L5*M5/1024</f>
        <v/>
      </c>
      <c r="S5" s="3">
        <f>C5*D5*G5/128</f>
        <v/>
      </c>
      <c r="T5" s="3">
        <f>(S5/$Y$2)/1000</f>
        <v/>
      </c>
      <c r="U5" s="26">
        <f>((O5*8*1024)/$T5)/1000</f>
        <v/>
      </c>
      <c r="V5" s="26">
        <f>((P5*8*1024)/$T5)/1000</f>
        <v/>
      </c>
      <c r="W5" s="26">
        <f>((Q5*8*1024)/$T5)/1000</f>
        <v/>
      </c>
      <c r="X5" s="26">
        <f>((R5*8*1024)/$T5)/1000</f>
        <v/>
      </c>
    </row>
    <row r="6">
      <c r="A6" s="7" t="inlineStr">
        <is>
          <t>KptEnc 32-&gt;64</t>
        </is>
      </c>
      <c r="B6" s="7" t="inlineStr">
        <is>
          <t>accumulate</t>
        </is>
      </c>
      <c r="C6" s="11" t="n">
        <v>64</v>
      </c>
      <c r="D6" s="11" t="n">
        <v>512</v>
      </c>
      <c r="E6" s="11" t="n">
        <v>0</v>
      </c>
      <c r="F6" s="2" t="n">
        <v>0</v>
      </c>
      <c r="G6" s="2" t="n">
        <v>32</v>
      </c>
      <c r="H6" s="2" t="n">
        <v>0</v>
      </c>
      <c r="I6" s="3" t="n">
        <v>0</v>
      </c>
      <c r="J6" s="3" t="n">
        <v>0</v>
      </c>
      <c r="K6" s="3" t="n">
        <v>0</v>
      </c>
      <c r="L6" s="13" t="n">
        <v>64</v>
      </c>
      <c r="M6" s="13" t="n">
        <v>512</v>
      </c>
      <c r="N6" s="13" t="n">
        <v>0</v>
      </c>
      <c r="O6" s="3">
        <f>C6*D6/1024</f>
        <v/>
      </c>
      <c r="P6" s="3" t="n">
        <v>0</v>
      </c>
      <c r="Q6" s="3" t="n">
        <v>0</v>
      </c>
      <c r="R6" s="3">
        <f>L6*M6/1024</f>
        <v/>
      </c>
      <c r="S6" s="3">
        <f>C6*D6*G6/128</f>
        <v/>
      </c>
      <c r="T6" s="3">
        <f>(S6/$Y$2)/1000</f>
        <v/>
      </c>
      <c r="U6" s="26">
        <f>((O6*8*1024)/$T6)/1000</f>
        <v/>
      </c>
      <c r="V6" s="26">
        <f>((P6*8*1024)/$T6)/1000</f>
        <v/>
      </c>
      <c r="W6" s="26">
        <f>((Q6*8*1024)/$T6)/1000</f>
        <v/>
      </c>
      <c r="X6" s="26">
        <f>((R6*8*1024)/$T6)/1000</f>
        <v/>
      </c>
    </row>
    <row r="7">
      <c r="A7" s="7" t="inlineStr">
        <is>
          <t>KptEnc 64-&gt;128</t>
        </is>
      </c>
      <c r="B7" s="7" t="inlineStr">
        <is>
          <t>multiply</t>
        </is>
      </c>
      <c r="C7" s="11" t="n">
        <v>128</v>
      </c>
      <c r="D7" s="11" t="n">
        <v>512</v>
      </c>
      <c r="E7" s="11" t="n">
        <v>0</v>
      </c>
      <c r="F7" s="2" t="n">
        <v>0</v>
      </c>
      <c r="G7" s="2" t="n">
        <v>64</v>
      </c>
      <c r="H7" s="2" t="n">
        <v>0</v>
      </c>
      <c r="I7" s="3" t="n">
        <v>0</v>
      </c>
      <c r="J7" s="3" t="n">
        <v>0</v>
      </c>
      <c r="K7" s="3" t="n">
        <v>0</v>
      </c>
      <c r="L7" s="13" t="n">
        <v>128</v>
      </c>
      <c r="M7" s="13" t="n">
        <v>512</v>
      </c>
      <c r="N7" s="13" t="n">
        <v>0</v>
      </c>
      <c r="O7" s="3">
        <f>C7*D7/1024</f>
        <v/>
      </c>
      <c r="P7" s="3" t="n">
        <v>0</v>
      </c>
      <c r="Q7" s="3" t="n">
        <v>0</v>
      </c>
      <c r="R7" s="3">
        <f>L7*M7/1024</f>
        <v/>
      </c>
      <c r="S7" s="3">
        <f>C7*D7*G7/128</f>
        <v/>
      </c>
      <c r="T7" s="3">
        <f>(S7/$Y$2)/1000</f>
        <v/>
      </c>
      <c r="U7" s="26">
        <f>((O7*8*1024)/$T7)/1000</f>
        <v/>
      </c>
      <c r="V7" s="26">
        <f>((P7*8*1024)/$T7)/1000</f>
        <v/>
      </c>
      <c r="W7" s="26">
        <f>((Q7*8*1024)/$T7)/1000</f>
        <v/>
      </c>
      <c r="X7" s="26">
        <f>((R7*8*1024)/$T7)/1000</f>
        <v/>
      </c>
    </row>
    <row r="8">
      <c r="A8" s="7" t="inlineStr">
        <is>
          <t>KptEnc 64-&gt;128</t>
        </is>
      </c>
      <c r="B8" s="7" t="inlineStr">
        <is>
          <t>accumulate</t>
        </is>
      </c>
      <c r="C8" s="11" t="n">
        <v>128</v>
      </c>
      <c r="D8" s="11" t="n">
        <v>512</v>
      </c>
      <c r="E8" s="11" t="n">
        <v>0</v>
      </c>
      <c r="F8" s="2" t="n">
        <v>0</v>
      </c>
      <c r="G8" s="2" t="n">
        <v>64</v>
      </c>
      <c r="H8" s="2" t="n">
        <v>0</v>
      </c>
      <c r="I8" s="3" t="n">
        <v>0</v>
      </c>
      <c r="J8" s="3" t="n">
        <v>0</v>
      </c>
      <c r="K8" s="3" t="n">
        <v>0</v>
      </c>
      <c r="L8" s="13" t="n">
        <v>128</v>
      </c>
      <c r="M8" s="13" t="n">
        <v>512</v>
      </c>
      <c r="N8" s="13" t="n">
        <v>0</v>
      </c>
      <c r="O8" s="3">
        <f>C8*D8/1024</f>
        <v/>
      </c>
      <c r="P8" s="3" t="n">
        <v>0</v>
      </c>
      <c r="Q8" s="3" t="n">
        <v>0</v>
      </c>
      <c r="R8" s="3">
        <f>L8*M8/1024</f>
        <v/>
      </c>
      <c r="S8" s="3">
        <f>C8*D8*G8/128</f>
        <v/>
      </c>
      <c r="T8" s="3">
        <f>(S8/$Y$2)/1000</f>
        <v/>
      </c>
      <c r="U8" s="26">
        <f>((O8*8*1024)/$T8)/1000</f>
        <v/>
      </c>
      <c r="V8" s="26">
        <f>((P8*8*1024)/$T8)/1000</f>
        <v/>
      </c>
      <c r="W8" s="26">
        <f>((Q8*8*1024)/$T8)/1000</f>
        <v/>
      </c>
      <c r="X8" s="26">
        <f>((R8*8*1024)/$T8)/1000</f>
        <v/>
      </c>
    </row>
    <row r="9">
      <c r="A9" s="7" t="inlineStr">
        <is>
          <t>KptEnc 128-&gt;256</t>
        </is>
      </c>
      <c r="B9" s="7" t="inlineStr">
        <is>
          <t>multiply</t>
        </is>
      </c>
      <c r="C9" s="11" t="n">
        <v>256</v>
      </c>
      <c r="D9" s="11" t="n">
        <v>512</v>
      </c>
      <c r="E9" s="11" t="n">
        <v>0</v>
      </c>
      <c r="F9" s="2" t="n">
        <v>0</v>
      </c>
      <c r="G9" s="2" t="n">
        <v>128</v>
      </c>
      <c r="H9" s="2" t="n">
        <v>0</v>
      </c>
      <c r="I9" s="3" t="n">
        <v>0</v>
      </c>
      <c r="J9" s="3" t="n">
        <v>0</v>
      </c>
      <c r="K9" s="3" t="n">
        <v>0</v>
      </c>
      <c r="L9" s="13" t="n">
        <v>256</v>
      </c>
      <c r="M9" s="13" t="n">
        <v>512</v>
      </c>
      <c r="N9" s="13" t="n">
        <v>0</v>
      </c>
      <c r="O9" s="3">
        <f>C9*D9/1024</f>
        <v/>
      </c>
      <c r="P9" s="3" t="n">
        <v>0</v>
      </c>
      <c r="Q9" s="3" t="n">
        <v>0</v>
      </c>
      <c r="R9" s="3">
        <f>L9*M9/1024</f>
        <v/>
      </c>
      <c r="S9" s="3">
        <f>C9*D9*G9/128</f>
        <v/>
      </c>
      <c r="T9" s="3">
        <f>(S9/$Y$2)/1000</f>
        <v/>
      </c>
      <c r="U9" s="26">
        <f>((O9*8*1024)/$T9)/1000</f>
        <v/>
      </c>
      <c r="V9" s="26">
        <f>((P9*8*1024)/$T9)/1000</f>
        <v/>
      </c>
      <c r="W9" s="26">
        <f>((Q9*8*1024)/$T9)/1000</f>
        <v/>
      </c>
      <c r="X9" s="26">
        <f>((R9*8*1024)/$T9)/1000</f>
        <v/>
      </c>
    </row>
    <row r="10">
      <c r="A10" s="7" t="inlineStr">
        <is>
          <t>KptEnc 128-&gt;256</t>
        </is>
      </c>
      <c r="B10" s="7" t="inlineStr">
        <is>
          <t>accumulate</t>
        </is>
      </c>
      <c r="C10" s="11" t="n">
        <v>256</v>
      </c>
      <c r="D10" s="11" t="n">
        <v>512</v>
      </c>
      <c r="E10" s="11" t="n">
        <v>0</v>
      </c>
      <c r="F10" s="2" t="n">
        <v>0</v>
      </c>
      <c r="G10" s="2" t="n">
        <v>128</v>
      </c>
      <c r="H10" s="2" t="n">
        <v>0</v>
      </c>
      <c r="I10" s="3" t="n">
        <v>0</v>
      </c>
      <c r="J10" s="3" t="n">
        <v>0</v>
      </c>
      <c r="K10" s="3" t="n">
        <v>0</v>
      </c>
      <c r="L10" s="13" t="n">
        <v>256</v>
      </c>
      <c r="M10" s="13" t="n">
        <v>512</v>
      </c>
      <c r="N10" s="13" t="n">
        <v>0</v>
      </c>
      <c r="O10" s="3">
        <f>C10*D10/1024</f>
        <v/>
      </c>
      <c r="P10" s="3" t="n">
        <v>0</v>
      </c>
      <c r="Q10" s="3" t="n">
        <v>0</v>
      </c>
      <c r="R10" s="3">
        <f>L10*M10/1024</f>
        <v/>
      </c>
      <c r="S10" s="3">
        <f>C10*D10*G10/128</f>
        <v/>
      </c>
      <c r="T10" s="3">
        <f>(S10/$Y$2)/1000</f>
        <v/>
      </c>
      <c r="U10" s="26">
        <f>((O10*8*1024)/$T10)/1000</f>
        <v/>
      </c>
      <c r="V10" s="26">
        <f>((P10*8*1024)/$T10)/1000</f>
        <v/>
      </c>
      <c r="W10" s="26">
        <f>((Q10*8*1024)/$T10)/1000</f>
        <v/>
      </c>
      <c r="X10" s="26">
        <f>((R10*8*1024)/$T10)/1000</f>
        <v/>
      </c>
    </row>
    <row r="11">
      <c r="A11" s="7" t="inlineStr">
        <is>
          <t>Residual desc+=enc</t>
        </is>
      </c>
      <c r="B11" s="7" t="inlineStr">
        <is>
          <t>add</t>
        </is>
      </c>
      <c r="C11" s="11" t="n">
        <v>256</v>
      </c>
      <c r="D11" s="11" t="n">
        <v>512</v>
      </c>
      <c r="E11" s="11" t="n">
        <v>0</v>
      </c>
      <c r="F11" s="2" t="n">
        <v>0</v>
      </c>
      <c r="G11" s="2" t="n">
        <v>0</v>
      </c>
      <c r="H11" s="2" t="n">
        <v>0</v>
      </c>
      <c r="I11" s="3" t="n">
        <v>0</v>
      </c>
      <c r="J11" s="3" t="n">
        <v>0</v>
      </c>
      <c r="K11" s="3" t="n">
        <v>0</v>
      </c>
      <c r="L11" s="13" t="n">
        <v>256</v>
      </c>
      <c r="M11" s="13" t="n">
        <v>512</v>
      </c>
      <c r="N11" s="13" t="n">
        <v>0</v>
      </c>
      <c r="O11" s="3">
        <f>C11*D11/1024</f>
        <v/>
      </c>
      <c r="P11" s="3" t="n">
        <v>0</v>
      </c>
      <c r="Q11" s="3" t="n">
        <v>0</v>
      </c>
      <c r="R11" s="3">
        <f>L11*M11/1024</f>
        <v/>
      </c>
      <c r="S11" s="3">
        <f>C11*D11/128</f>
        <v/>
      </c>
      <c r="T11" s="3">
        <f>(S11/$Y$2)/1000</f>
        <v/>
      </c>
      <c r="U11" s="26">
        <f>((O11*8*1024)/$T11)/1000</f>
        <v/>
      </c>
      <c r="V11" s="26">
        <f>((P11*8*1024)/$T11)/1000</f>
        <v/>
      </c>
      <c r="W11" s="26">
        <f>((Q11*8*1024)/$T11)/1000</f>
        <v/>
      </c>
      <c r="X11" s="26">
        <f>((R11*8*1024)/$T11)/1000</f>
        <v/>
      </c>
      <c r="Y11" s="17" t="inlineStr">
        <is>
          <t>Encoder total [us] -&gt;</t>
        </is>
      </c>
      <c r="Z11" s="17">
        <f>2*(SUM(T3:T11))</f>
        <v/>
      </c>
    </row>
    <row r="12">
      <c r="A12" s="7" t="inlineStr">
        <is>
          <t>Q proj D-&gt;D</t>
        </is>
      </c>
      <c r="B12" s="7" t="inlineStr">
        <is>
          <t>multiply</t>
        </is>
      </c>
      <c r="C12" s="11" t="n">
        <v>256</v>
      </c>
      <c r="D12" s="11" t="n">
        <v>512</v>
      </c>
      <c r="E12" s="11" t="n">
        <v>0</v>
      </c>
      <c r="F12" s="2" t="n">
        <v>0</v>
      </c>
      <c r="G12" s="2" t="n">
        <v>256</v>
      </c>
      <c r="H12" s="2" t="n">
        <v>0</v>
      </c>
      <c r="I12" s="3" t="n">
        <v>0</v>
      </c>
      <c r="J12" s="3" t="n">
        <v>0</v>
      </c>
      <c r="K12" s="3" t="n">
        <v>0</v>
      </c>
      <c r="L12" s="13" t="n">
        <v>256</v>
      </c>
      <c r="M12" s="13" t="n">
        <v>512</v>
      </c>
      <c r="N12" s="13" t="n">
        <v>0</v>
      </c>
      <c r="O12" s="3">
        <f>C12*D12/1024</f>
        <v/>
      </c>
      <c r="P12" s="3" t="n">
        <v>0</v>
      </c>
      <c r="Q12" s="3" t="n">
        <v>0</v>
      </c>
      <c r="R12" s="3">
        <f>L12*M12/1024</f>
        <v/>
      </c>
      <c r="S12" s="3">
        <f>C12*D12*G12/128</f>
        <v/>
      </c>
      <c r="T12" s="3">
        <f>(S12/$Y$2)/1000</f>
        <v/>
      </c>
      <c r="U12" s="26">
        <f>((O12*8*1024)/$T12)/1000</f>
        <v/>
      </c>
      <c r="V12" s="26">
        <f>((P12*8*1024)/$T12)/1000</f>
        <v/>
      </c>
      <c r="W12" s="26">
        <f>((Q12*8*1024)/$T12)/1000</f>
        <v/>
      </c>
      <c r="X12" s="26">
        <f>((R12*8*1024)/$T12)/1000</f>
        <v/>
      </c>
    </row>
    <row r="13">
      <c r="A13" s="7" t="inlineStr">
        <is>
          <t>Q proj D-&gt;D</t>
        </is>
      </c>
      <c r="B13" s="7" t="inlineStr">
        <is>
          <t>accumulate</t>
        </is>
      </c>
      <c r="C13" s="11" t="n">
        <v>256</v>
      </c>
      <c r="D13" s="11" t="n">
        <v>512</v>
      </c>
      <c r="E13" s="11" t="n">
        <v>0</v>
      </c>
      <c r="F13" s="2" t="n">
        <v>0</v>
      </c>
      <c r="G13" s="2" t="n">
        <v>256</v>
      </c>
      <c r="H13" s="2" t="n">
        <v>0</v>
      </c>
      <c r="I13" s="3" t="n">
        <v>0</v>
      </c>
      <c r="J13" s="3" t="n">
        <v>0</v>
      </c>
      <c r="K13" s="3" t="n">
        <v>0</v>
      </c>
      <c r="L13" s="13" t="n">
        <v>256</v>
      </c>
      <c r="M13" s="13" t="n">
        <v>512</v>
      </c>
      <c r="N13" s="13" t="n">
        <v>0</v>
      </c>
      <c r="O13" s="3">
        <f>C13*D13/1024</f>
        <v/>
      </c>
      <c r="P13" s="3" t="n">
        <v>0</v>
      </c>
      <c r="Q13" s="3" t="n">
        <v>0</v>
      </c>
      <c r="R13" s="3">
        <f>L13*M13/1024</f>
        <v/>
      </c>
      <c r="S13" s="3">
        <f>C13*D13*G13/128</f>
        <v/>
      </c>
      <c r="T13" s="3">
        <f>(S13/$Y$2)/1000</f>
        <v/>
      </c>
      <c r="U13" s="26">
        <f>((O13*8*1024)/$T13)/1000</f>
        <v/>
      </c>
      <c r="V13" s="26">
        <f>((P13*8*1024)/$T13)/1000</f>
        <v/>
      </c>
      <c r="W13" s="26">
        <f>((Q13*8*1024)/$T13)/1000</f>
        <v/>
      </c>
      <c r="X13" s="26">
        <f>((R13*8*1024)/$T13)/1000</f>
        <v/>
      </c>
    </row>
    <row r="14">
      <c r="A14" s="7" t="inlineStr">
        <is>
          <t>K proj D-&gt;D</t>
        </is>
      </c>
      <c r="B14" s="7" t="inlineStr">
        <is>
          <t>multiply</t>
        </is>
      </c>
      <c r="C14" s="11" t="n">
        <v>256</v>
      </c>
      <c r="D14" s="11" t="n">
        <v>512</v>
      </c>
      <c r="E14" s="11" t="n">
        <v>0</v>
      </c>
      <c r="F14" s="2" t="n">
        <v>0</v>
      </c>
      <c r="G14" s="2" t="n">
        <v>256</v>
      </c>
      <c r="H14" s="2" t="n">
        <v>0</v>
      </c>
      <c r="I14" s="3" t="n">
        <v>0</v>
      </c>
      <c r="J14" s="3" t="n">
        <v>0</v>
      </c>
      <c r="K14" s="3" t="n">
        <v>0</v>
      </c>
      <c r="L14" s="13" t="n">
        <v>256</v>
      </c>
      <c r="M14" s="13" t="n">
        <v>512</v>
      </c>
      <c r="N14" s="13" t="n">
        <v>0</v>
      </c>
      <c r="O14" s="3">
        <f>C14*D14/1024</f>
        <v/>
      </c>
      <c r="P14" s="3" t="n">
        <v>0</v>
      </c>
      <c r="Q14" s="3" t="n">
        <v>0</v>
      </c>
      <c r="R14" s="3">
        <f>L14*M14/1024</f>
        <v/>
      </c>
      <c r="S14" s="3">
        <f>C14*D14*G14/128</f>
        <v/>
      </c>
      <c r="T14" s="3">
        <f>(S14/$Y$2)/1000</f>
        <v/>
      </c>
      <c r="U14" s="26">
        <f>((O14*8*1024)/$T14)/1000</f>
        <v/>
      </c>
      <c r="V14" s="26">
        <f>((P14*8*1024)/$T14)/1000</f>
        <v/>
      </c>
      <c r="W14" s="26">
        <f>((Q14*8*1024)/$T14)/1000</f>
        <v/>
      </c>
      <c r="X14" s="26">
        <f>((R14*8*1024)/$T14)/1000</f>
        <v/>
      </c>
    </row>
    <row r="15">
      <c r="A15" s="7" t="inlineStr">
        <is>
          <t>K proj D-&gt;D</t>
        </is>
      </c>
      <c r="B15" s="7" t="inlineStr">
        <is>
          <t>accumulate</t>
        </is>
      </c>
      <c r="C15" s="11" t="n">
        <v>256</v>
      </c>
      <c r="D15" s="11" t="n">
        <v>512</v>
      </c>
      <c r="E15" s="11" t="n">
        <v>0</v>
      </c>
      <c r="F15" s="2" t="n">
        <v>0</v>
      </c>
      <c r="G15" s="2" t="n">
        <v>256</v>
      </c>
      <c r="H15" s="2" t="n">
        <v>0</v>
      </c>
      <c r="I15" s="3" t="n">
        <v>0</v>
      </c>
      <c r="J15" s="3" t="n">
        <v>0</v>
      </c>
      <c r="K15" s="3" t="n">
        <v>0</v>
      </c>
      <c r="L15" s="13" t="n">
        <v>256</v>
      </c>
      <c r="M15" s="13" t="n">
        <v>512</v>
      </c>
      <c r="N15" s="13" t="n">
        <v>0</v>
      </c>
      <c r="O15" s="3">
        <f>C15*D15/1024</f>
        <v/>
      </c>
      <c r="P15" s="3" t="n">
        <v>0</v>
      </c>
      <c r="Q15" s="3" t="n">
        <v>0</v>
      </c>
      <c r="R15" s="3">
        <f>L15*M15/1024</f>
        <v/>
      </c>
      <c r="S15" s="3">
        <f>C15*D15*G15/128</f>
        <v/>
      </c>
      <c r="T15" s="3">
        <f>(S15/$Y$2)/1000</f>
        <v/>
      </c>
      <c r="U15" s="26">
        <f>((O15*8*1024)/$T15)/1000</f>
        <v/>
      </c>
      <c r="V15" s="26">
        <f>((P15*8*1024)/$T15)/1000</f>
        <v/>
      </c>
      <c r="W15" s="26">
        <f>((Q15*8*1024)/$T15)/1000</f>
        <v/>
      </c>
      <c r="X15" s="26">
        <f>((R15*8*1024)/$T15)/1000</f>
        <v/>
      </c>
    </row>
    <row r="16">
      <c r="A16" s="7" t="inlineStr">
        <is>
          <t>V proj D-&gt;D</t>
        </is>
      </c>
      <c r="B16" s="7" t="inlineStr">
        <is>
          <t>multiply</t>
        </is>
      </c>
      <c r="C16" s="11" t="n">
        <v>256</v>
      </c>
      <c r="D16" s="11" t="n">
        <v>512</v>
      </c>
      <c r="E16" s="11" t="n">
        <v>0</v>
      </c>
      <c r="F16" s="2" t="n">
        <v>0</v>
      </c>
      <c r="G16" s="2" t="n">
        <v>256</v>
      </c>
      <c r="H16" s="2" t="n">
        <v>0</v>
      </c>
      <c r="I16" s="3" t="n">
        <v>0</v>
      </c>
      <c r="J16" s="3" t="n">
        <v>0</v>
      </c>
      <c r="K16" s="3" t="n">
        <v>0</v>
      </c>
      <c r="L16" s="13" t="n">
        <v>256</v>
      </c>
      <c r="M16" s="13" t="n">
        <v>512</v>
      </c>
      <c r="N16" s="13" t="n">
        <v>0</v>
      </c>
      <c r="O16" s="3">
        <f>C16*D16/1024</f>
        <v/>
      </c>
      <c r="P16" s="3" t="n">
        <v>0</v>
      </c>
      <c r="Q16" s="3" t="n">
        <v>0</v>
      </c>
      <c r="R16" s="3">
        <f>L16*M16/1024</f>
        <v/>
      </c>
      <c r="S16" s="3">
        <f>C16*D16*G16/128</f>
        <v/>
      </c>
      <c r="T16" s="3">
        <f>(S16/$Y$2)/1000</f>
        <v/>
      </c>
      <c r="U16" s="26">
        <f>((O16*8*1024)/$T16)/1000</f>
        <v/>
      </c>
      <c r="V16" s="26">
        <f>((P16*8*1024)/$T16)/1000</f>
        <v/>
      </c>
      <c r="W16" s="26">
        <f>((Q16*8*1024)/$T16)/1000</f>
        <v/>
      </c>
      <c r="X16" s="26">
        <f>((R16*8*1024)/$T16)/1000</f>
        <v/>
      </c>
    </row>
    <row r="17">
      <c r="A17" s="7" t="inlineStr">
        <is>
          <t>V proj D-&gt;D</t>
        </is>
      </c>
      <c r="B17" s="7" t="inlineStr">
        <is>
          <t>accumulate</t>
        </is>
      </c>
      <c r="C17" s="11" t="n">
        <v>256</v>
      </c>
      <c r="D17" s="11" t="n">
        <v>512</v>
      </c>
      <c r="E17" s="11" t="n">
        <v>0</v>
      </c>
      <c r="F17" s="2" t="n">
        <v>0</v>
      </c>
      <c r="G17" s="2" t="n">
        <v>256</v>
      </c>
      <c r="H17" s="2" t="n">
        <v>0</v>
      </c>
      <c r="I17" s="3" t="n">
        <v>0</v>
      </c>
      <c r="J17" s="3" t="n">
        <v>0</v>
      </c>
      <c r="K17" s="3" t="n">
        <v>0</v>
      </c>
      <c r="L17" s="13" t="n">
        <v>256</v>
      </c>
      <c r="M17" s="13" t="n">
        <v>512</v>
      </c>
      <c r="N17" s="13" t="n">
        <v>0</v>
      </c>
      <c r="O17" s="3">
        <f>C17*D17/1024</f>
        <v/>
      </c>
      <c r="P17" s="3" t="n">
        <v>0</v>
      </c>
      <c r="Q17" s="3" t="n">
        <v>0</v>
      </c>
      <c r="R17" s="3">
        <f>L17*M17/1024</f>
        <v/>
      </c>
      <c r="S17" s="3">
        <f>C17*D17*G17/128</f>
        <v/>
      </c>
      <c r="T17" s="3">
        <f>(S17/$Y$2)/1000</f>
        <v/>
      </c>
      <c r="U17" s="26">
        <f>((O17*8*1024)/$T17)/1000</f>
        <v/>
      </c>
      <c r="V17" s="26">
        <f>((P17*8*1024)/$T17)/1000</f>
        <v/>
      </c>
      <c r="W17" s="26">
        <f>((Q17*8*1024)/$T17)/1000</f>
        <v/>
      </c>
      <c r="X17" s="26">
        <f>((R17*8*1024)/$T17)/1000</f>
        <v/>
      </c>
    </row>
    <row r="18">
      <c r="A18" s="7" t="inlineStr">
        <is>
          <t>head reshape Q</t>
        </is>
      </c>
      <c r="B18" s="7" t="inlineStr">
        <is>
          <t>reshape</t>
        </is>
      </c>
      <c r="C18" s="11" t="n">
        <v>64</v>
      </c>
      <c r="D18" s="11" t="n">
        <v>512</v>
      </c>
      <c r="E18" s="11" t="n">
        <v>0</v>
      </c>
      <c r="F18" s="2" t="n">
        <v>0</v>
      </c>
      <c r="G18" s="2" t="n">
        <v>0</v>
      </c>
      <c r="H18" s="2" t="n">
        <v>0</v>
      </c>
      <c r="I18" s="3" t="n">
        <v>0</v>
      </c>
      <c r="J18" s="3" t="n">
        <v>0</v>
      </c>
      <c r="K18" s="3" t="n">
        <v>0</v>
      </c>
      <c r="L18" s="13" t="n">
        <v>64</v>
      </c>
      <c r="M18" s="13" t="n">
        <v>512</v>
      </c>
      <c r="N18" s="13" t="n">
        <v>0</v>
      </c>
      <c r="O18" s="3">
        <f>C18*D18/1024</f>
        <v/>
      </c>
      <c r="P18" s="3" t="n">
        <v>0</v>
      </c>
      <c r="Q18" s="3" t="n">
        <v>0</v>
      </c>
      <c r="R18" s="3">
        <f>L18*M18/1024</f>
        <v/>
      </c>
      <c r="S18" s="3" t="inlineStr">
        <is>
          <t>0</t>
        </is>
      </c>
      <c r="T18" s="3" t="n">
        <v>0</v>
      </c>
      <c r="U18" s="26" t="n">
        <v>0</v>
      </c>
      <c r="V18" s="26" t="n">
        <v>0</v>
      </c>
      <c r="W18" s="26" t="n">
        <v>0</v>
      </c>
      <c r="X18" s="26" t="n">
        <v>0</v>
      </c>
    </row>
    <row r="19">
      <c r="A19" s="7" t="inlineStr">
        <is>
          <t>head reshape K</t>
        </is>
      </c>
      <c r="B19" s="7" t="inlineStr">
        <is>
          <t>reshape</t>
        </is>
      </c>
      <c r="C19" s="11" t="n">
        <v>64</v>
      </c>
      <c r="D19" s="11" t="n">
        <v>512</v>
      </c>
      <c r="E19" s="11" t="n">
        <v>0</v>
      </c>
      <c r="F19" s="2" t="n">
        <v>0</v>
      </c>
      <c r="G19" s="2" t="n">
        <v>0</v>
      </c>
      <c r="H19" s="2" t="n">
        <v>0</v>
      </c>
      <c r="I19" s="3" t="n">
        <v>0</v>
      </c>
      <c r="J19" s="3" t="n">
        <v>0</v>
      </c>
      <c r="K19" s="3" t="n">
        <v>0</v>
      </c>
      <c r="L19" s="13" t="n">
        <v>64</v>
      </c>
      <c r="M19" s="13" t="n">
        <v>512</v>
      </c>
      <c r="N19" s="13" t="n">
        <v>0</v>
      </c>
      <c r="O19" s="3">
        <f>C19*D19/1024</f>
        <v/>
      </c>
      <c r="P19" s="3" t="n">
        <v>0</v>
      </c>
      <c r="Q19" s="3" t="n">
        <v>0</v>
      </c>
      <c r="R19" s="3">
        <f>L19*M19/1024</f>
        <v/>
      </c>
      <c r="S19" s="3" t="inlineStr">
        <is>
          <t>0</t>
        </is>
      </c>
      <c r="T19" s="3" t="n">
        <v>0</v>
      </c>
      <c r="U19" s="26" t="n">
        <v>0</v>
      </c>
      <c r="V19" s="26" t="n">
        <v>0</v>
      </c>
      <c r="W19" s="26" t="n">
        <v>0</v>
      </c>
      <c r="X19" s="26" t="n">
        <v>0</v>
      </c>
    </row>
    <row r="20">
      <c r="A20" s="7" t="inlineStr">
        <is>
          <t>head reshape V</t>
        </is>
      </c>
      <c r="B20" s="7" t="inlineStr">
        <is>
          <t>reshape</t>
        </is>
      </c>
      <c r="C20" s="11" t="n">
        <v>64</v>
      </c>
      <c r="D20" s="11" t="n">
        <v>512</v>
      </c>
      <c r="E20" s="11" t="n">
        <v>0</v>
      </c>
      <c r="F20" s="2" t="n">
        <v>0</v>
      </c>
      <c r="G20" s="2" t="n">
        <v>0</v>
      </c>
      <c r="H20" s="2" t="n">
        <v>0</v>
      </c>
      <c r="I20" s="3" t="n">
        <v>0</v>
      </c>
      <c r="J20" s="3" t="n">
        <v>0</v>
      </c>
      <c r="K20" s="3" t="n">
        <v>0</v>
      </c>
      <c r="L20" s="13" t="n">
        <v>64</v>
      </c>
      <c r="M20" s="13" t="n">
        <v>512</v>
      </c>
      <c r="N20" s="13" t="n">
        <v>0</v>
      </c>
      <c r="O20" s="3">
        <f>C20*D20/1024</f>
        <v/>
      </c>
      <c r="P20" s="3" t="n">
        <v>0</v>
      </c>
      <c r="Q20" s="3" t="n">
        <v>0</v>
      </c>
      <c r="R20" s="3">
        <f>L20*M20/1024</f>
        <v/>
      </c>
      <c r="S20" s="3" t="inlineStr">
        <is>
          <t>0</t>
        </is>
      </c>
      <c r="T20" s="3" t="n">
        <v>0</v>
      </c>
      <c r="U20" s="26" t="n">
        <v>0</v>
      </c>
      <c r="V20" s="26" t="n">
        <v>0</v>
      </c>
      <c r="W20" s="26" t="n">
        <v>0</v>
      </c>
      <c r="X20" s="26" t="n">
        <v>0</v>
      </c>
    </row>
    <row r="21">
      <c r="A21" s="7" t="inlineStr">
        <is>
          <t>QKt (1 head)</t>
        </is>
      </c>
      <c r="B21" s="7" t="inlineStr">
        <is>
          <t>multiply</t>
        </is>
      </c>
      <c r="C21" s="11" t="n">
        <v>512</v>
      </c>
      <c r="D21" s="11" t="n">
        <v>512</v>
      </c>
      <c r="E21" s="11" t="n">
        <v>0</v>
      </c>
      <c r="F21" s="2" t="n">
        <v>0</v>
      </c>
      <c r="G21" s="2" t="n">
        <v>64</v>
      </c>
      <c r="H21" s="2" t="n">
        <v>0</v>
      </c>
      <c r="I21" s="3" t="n">
        <v>0</v>
      </c>
      <c r="J21" s="3" t="n">
        <v>0</v>
      </c>
      <c r="K21" s="3" t="n">
        <v>0</v>
      </c>
      <c r="L21" s="13" t="n">
        <v>512</v>
      </c>
      <c r="M21" s="13" t="n">
        <v>512</v>
      </c>
      <c r="N21" s="13" t="n">
        <v>0</v>
      </c>
      <c r="O21" s="3">
        <f>C21*D21/1024</f>
        <v/>
      </c>
      <c r="P21" s="3" t="n">
        <v>0</v>
      </c>
      <c r="Q21" s="3" t="n">
        <v>0</v>
      </c>
      <c r="R21" s="3">
        <f>L21*M21/1024</f>
        <v/>
      </c>
      <c r="S21" s="3">
        <f>C21*D21*G21/128</f>
        <v/>
      </c>
      <c r="T21" s="3">
        <f>(S21/$Y$2)/1000</f>
        <v/>
      </c>
      <c r="U21" s="26">
        <f>((O21*8*1024)/$T21)/1000</f>
        <v/>
      </c>
      <c r="V21" s="26">
        <f>((P21*8*1024)/$T21)/1000</f>
        <v/>
      </c>
      <c r="W21" s="26">
        <f>((Q21*8*1024)/$T21)/1000</f>
        <v/>
      </c>
      <c r="X21" s="26">
        <f>((R21*8*1024)/$T21)/1000</f>
        <v/>
      </c>
    </row>
    <row r="22">
      <c r="A22" s="7" t="inlineStr">
        <is>
          <t>QKt (1 head)</t>
        </is>
      </c>
      <c r="B22" s="7" t="inlineStr">
        <is>
          <t>accumulate</t>
        </is>
      </c>
      <c r="C22" s="11" t="n">
        <v>512</v>
      </c>
      <c r="D22" s="11" t="n">
        <v>512</v>
      </c>
      <c r="E22" s="11" t="n">
        <v>0</v>
      </c>
      <c r="F22" s="2" t="n">
        <v>0</v>
      </c>
      <c r="G22" s="2" t="n">
        <v>64</v>
      </c>
      <c r="H22" s="2" t="n">
        <v>0</v>
      </c>
      <c r="I22" s="3" t="n">
        <v>0</v>
      </c>
      <c r="J22" s="3" t="n">
        <v>0</v>
      </c>
      <c r="K22" s="3" t="n">
        <v>0</v>
      </c>
      <c r="L22" s="13" t="n">
        <v>512</v>
      </c>
      <c r="M22" s="13" t="n">
        <v>512</v>
      </c>
      <c r="N22" s="13" t="n">
        <v>0</v>
      </c>
      <c r="O22" s="3">
        <f>C22*D22/1024</f>
        <v/>
      </c>
      <c r="P22" s="3" t="n">
        <v>0</v>
      </c>
      <c r="Q22" s="3" t="n">
        <v>0</v>
      </c>
      <c r="R22" s="3">
        <f>L22*M22/1024</f>
        <v/>
      </c>
      <c r="S22" s="3">
        <f>C22*D22*G22/128</f>
        <v/>
      </c>
      <c r="T22" s="3">
        <f>(S22/$Y$2)/1000</f>
        <v/>
      </c>
      <c r="U22" s="26">
        <f>((O22*8*1024)/$T22)/1000</f>
        <v/>
      </c>
      <c r="V22" s="26">
        <f>((P22*8*1024)/$T22)/1000</f>
        <v/>
      </c>
      <c r="W22" s="26">
        <f>((Q22*8*1024)/$T22)/1000</f>
        <v/>
      </c>
      <c r="X22" s="26">
        <f>((R22*8*1024)/$T22)/1000</f>
        <v/>
      </c>
    </row>
    <row r="23">
      <c r="A23" s="7" t="inlineStr">
        <is>
          <t>scale 1/sqrt(d)</t>
        </is>
      </c>
      <c r="B23" s="7" t="inlineStr">
        <is>
          <t>multiply</t>
        </is>
      </c>
      <c r="C23" s="11" t="n">
        <v>512</v>
      </c>
      <c r="D23" s="11" t="n">
        <v>512</v>
      </c>
      <c r="E23" s="11" t="n">
        <v>0</v>
      </c>
      <c r="F23" s="2" t="n">
        <v>0</v>
      </c>
      <c r="G23" s="2" t="n">
        <v>0</v>
      </c>
      <c r="H23" s="2" t="n">
        <v>0</v>
      </c>
      <c r="I23" s="3" t="n">
        <v>0</v>
      </c>
      <c r="J23" s="3" t="n">
        <v>0</v>
      </c>
      <c r="K23" s="3" t="n">
        <v>0</v>
      </c>
      <c r="L23" s="13" t="n">
        <v>512</v>
      </c>
      <c r="M23" s="13" t="n">
        <v>512</v>
      </c>
      <c r="N23" s="13" t="n">
        <v>0</v>
      </c>
      <c r="O23" s="3">
        <f>C23*D23/1024</f>
        <v/>
      </c>
      <c r="P23" s="3" t="n">
        <v>0</v>
      </c>
      <c r="Q23" s="3" t="n">
        <v>0</v>
      </c>
      <c r="R23" s="3">
        <f>L23*M23/1024</f>
        <v/>
      </c>
      <c r="S23" s="3">
        <f>C23*D23/128</f>
        <v/>
      </c>
      <c r="T23" s="3">
        <f>(S23/$Y$2)/1000</f>
        <v/>
      </c>
      <c r="U23" s="26">
        <f>((O23*8*1024)/$T23)/1000</f>
        <v/>
      </c>
      <c r="V23" s="26">
        <f>((P23*8*1024)/$T23)/1000</f>
        <v/>
      </c>
      <c r="W23" s="26">
        <f>((Q23*8*1024)/$T23)/1000</f>
        <v/>
      </c>
      <c r="X23" s="26">
        <f>((R23*8*1024)/$T23)/1000</f>
        <v/>
      </c>
    </row>
    <row r="24">
      <c r="A24" s="7" t="inlineStr">
        <is>
          <t>softmax (1 head)</t>
        </is>
      </c>
      <c r="B24" s="7" t="inlineStr">
        <is>
          <t>max</t>
        </is>
      </c>
      <c r="C24" s="11" t="n">
        <v>512</v>
      </c>
      <c r="D24" s="11" t="n">
        <v>512</v>
      </c>
      <c r="E24" s="11" t="n">
        <v>0</v>
      </c>
      <c r="F24" s="2" t="n">
        <v>0</v>
      </c>
      <c r="G24" s="2" t="n">
        <v>0</v>
      </c>
      <c r="H24" s="2" t="n">
        <v>0</v>
      </c>
      <c r="I24" s="3" t="n">
        <v>0</v>
      </c>
      <c r="J24" s="3" t="n">
        <v>0</v>
      </c>
      <c r="K24" s="3" t="n">
        <v>0</v>
      </c>
      <c r="L24" s="13" t="n">
        <v>512</v>
      </c>
      <c r="M24" s="13" t="n">
        <v>512</v>
      </c>
      <c r="N24" s="13" t="n">
        <v>0</v>
      </c>
      <c r="O24" s="3">
        <f>C24*D24/1024</f>
        <v/>
      </c>
      <c r="P24" s="3" t="n">
        <v>0</v>
      </c>
      <c r="Q24" s="3" t="n">
        <v>0</v>
      </c>
      <c r="R24" s="3">
        <f>L24*M24/1024</f>
        <v/>
      </c>
      <c r="S24" s="3">
        <f>C24*D24/128</f>
        <v/>
      </c>
      <c r="T24" s="3">
        <f>(S24/$Y$2)/1000</f>
        <v/>
      </c>
      <c r="U24" s="26">
        <f>((O24*8*1024)/$T24)/1000</f>
        <v/>
      </c>
      <c r="V24" s="26">
        <f>((P24*8*1024)/$T24)/1000</f>
        <v/>
      </c>
      <c r="W24" s="26">
        <f>((Q24*8*1024)/$T24)/1000</f>
        <v/>
      </c>
      <c r="X24" s="26">
        <f>((R24*8*1024)/$T24)/1000</f>
        <v/>
      </c>
    </row>
    <row r="25">
      <c r="A25" s="7" t="inlineStr">
        <is>
          <t>softmax (1 head)</t>
        </is>
      </c>
      <c r="B25" s="7" t="inlineStr">
        <is>
          <t>subtract</t>
        </is>
      </c>
      <c r="C25" s="11" t="n">
        <v>512</v>
      </c>
      <c r="D25" s="11" t="n">
        <v>512</v>
      </c>
      <c r="E25" s="11" t="n">
        <v>0</v>
      </c>
      <c r="F25" s="2" t="n">
        <v>0</v>
      </c>
      <c r="G25" s="2" t="n">
        <v>0</v>
      </c>
      <c r="H25" s="2" t="n">
        <v>0</v>
      </c>
      <c r="I25" s="3" t="n">
        <v>0</v>
      </c>
      <c r="J25" s="3" t="n">
        <v>0</v>
      </c>
      <c r="K25" s="3" t="n">
        <v>0</v>
      </c>
      <c r="L25" s="13" t="n">
        <v>512</v>
      </c>
      <c r="M25" s="13" t="n">
        <v>512</v>
      </c>
      <c r="N25" s="13" t="n">
        <v>0</v>
      </c>
      <c r="O25" s="3">
        <f>C25*D25/1024</f>
        <v/>
      </c>
      <c r="P25" s="3" t="n">
        <v>0</v>
      </c>
      <c r="Q25" s="3" t="n">
        <v>0</v>
      </c>
      <c r="R25" s="3">
        <f>L25*M25/1024</f>
        <v/>
      </c>
      <c r="S25" s="3">
        <f>C25*D25/128</f>
        <v/>
      </c>
      <c r="T25" s="3">
        <f>(S25/$Y$2)/1000</f>
        <v/>
      </c>
      <c r="U25" s="26">
        <f>((O25*8*1024)/$T25)/1000</f>
        <v/>
      </c>
      <c r="V25" s="26">
        <f>((P25*8*1024)/$T25)/1000</f>
        <v/>
      </c>
      <c r="W25" s="26">
        <f>((Q25*8*1024)/$T25)/1000</f>
        <v/>
      </c>
      <c r="X25" s="26">
        <f>((R25*8*1024)/$T25)/1000</f>
        <v/>
      </c>
    </row>
    <row r="26">
      <c r="A26" s="7" t="inlineStr">
        <is>
          <t>softmax (1 head)</t>
        </is>
      </c>
      <c r="B26" s="7" t="inlineStr">
        <is>
          <t>exp2</t>
        </is>
      </c>
      <c r="C26" s="11" t="n">
        <v>512</v>
      </c>
      <c r="D26" s="11" t="n">
        <v>512</v>
      </c>
      <c r="E26" s="11" t="n">
        <v>0</v>
      </c>
      <c r="F26" s="2" t="n">
        <v>0</v>
      </c>
      <c r="G26" s="2" t="n">
        <v>0</v>
      </c>
      <c r="H26" s="2" t="n">
        <v>0</v>
      </c>
      <c r="I26" s="3" t="n">
        <v>0</v>
      </c>
      <c r="J26" s="3" t="n">
        <v>0</v>
      </c>
      <c r="K26" s="3" t="n">
        <v>0</v>
      </c>
      <c r="L26" s="13" t="n">
        <v>512</v>
      </c>
      <c r="M26" s="13" t="n">
        <v>512</v>
      </c>
      <c r="N26" s="13" t="n">
        <v>0</v>
      </c>
      <c r="O26" s="3">
        <f>C26*D26/1024</f>
        <v/>
      </c>
      <c r="P26" s="3" t="n">
        <v>0</v>
      </c>
      <c r="Q26" s="3" t="n">
        <v>0</v>
      </c>
      <c r="R26" s="3">
        <f>L26*M26/1024</f>
        <v/>
      </c>
      <c r="S26" s="3">
        <f>C26*D26/128</f>
        <v/>
      </c>
      <c r="T26" s="3">
        <f>(S26/$Y$2)/1000</f>
        <v/>
      </c>
      <c r="U26" s="26">
        <f>((O26*8*1024)/$T26)/1000</f>
        <v/>
      </c>
      <c r="V26" s="26">
        <f>((P26*8*1024)/$T26)/1000</f>
        <v/>
      </c>
      <c r="W26" s="26">
        <f>((Q26*8*1024)/$T26)/1000</f>
        <v/>
      </c>
      <c r="X26" s="26">
        <f>((R26*8*1024)/$T26)/1000</f>
        <v/>
      </c>
    </row>
    <row r="27">
      <c r="A27" s="7" t="inlineStr">
        <is>
          <t>softmax (1 head)</t>
        </is>
      </c>
      <c r="B27" s="7" t="inlineStr">
        <is>
          <t>sum</t>
        </is>
      </c>
      <c r="C27" s="11" t="n">
        <v>512</v>
      </c>
      <c r="D27" s="11" t="n">
        <v>512</v>
      </c>
      <c r="E27" s="11" t="n">
        <v>0</v>
      </c>
      <c r="F27" s="2" t="n">
        <v>0</v>
      </c>
      <c r="G27" s="2" t="n">
        <v>0</v>
      </c>
      <c r="H27" s="2" t="n">
        <v>0</v>
      </c>
      <c r="I27" s="3" t="n">
        <v>0</v>
      </c>
      <c r="J27" s="3" t="n">
        <v>0</v>
      </c>
      <c r="K27" s="3" t="n">
        <v>0</v>
      </c>
      <c r="L27" s="13" t="n">
        <v>512</v>
      </c>
      <c r="M27" s="13" t="n">
        <v>512</v>
      </c>
      <c r="N27" s="13" t="n">
        <v>0</v>
      </c>
      <c r="O27" s="3">
        <f>C27*D27/1024</f>
        <v/>
      </c>
      <c r="P27" s="3" t="n">
        <v>0</v>
      </c>
      <c r="Q27" s="3" t="n">
        <v>0</v>
      </c>
      <c r="R27" s="3">
        <f>L27*M27/1024</f>
        <v/>
      </c>
      <c r="S27" s="3">
        <f>C27*D27/128</f>
        <v/>
      </c>
      <c r="T27" s="3">
        <f>(S27/$Y$2)/1000</f>
        <v/>
      </c>
      <c r="U27" s="26">
        <f>((O27*8*1024)/$T27)/1000</f>
        <v/>
      </c>
      <c r="V27" s="26">
        <f>((P27*8*1024)/$T27)/1000</f>
        <v/>
      </c>
      <c r="W27" s="26">
        <f>((Q27*8*1024)/$T27)/1000</f>
        <v/>
      </c>
      <c r="X27" s="26">
        <f>((R27*8*1024)/$T27)/1000</f>
        <v/>
      </c>
    </row>
    <row r="28">
      <c r="A28" s="7" t="inlineStr">
        <is>
          <t>softmax (1 head)</t>
        </is>
      </c>
      <c r="B28" s="7" t="inlineStr">
        <is>
          <t>multiply(1/Z)</t>
        </is>
      </c>
      <c r="C28" s="11" t="n">
        <v>512</v>
      </c>
      <c r="D28" s="11" t="n">
        <v>512</v>
      </c>
      <c r="E28" s="11" t="n">
        <v>0</v>
      </c>
      <c r="F28" s="2" t="n">
        <v>0</v>
      </c>
      <c r="G28" s="2" t="n">
        <v>0</v>
      </c>
      <c r="H28" s="2" t="n">
        <v>0</v>
      </c>
      <c r="I28" s="3" t="n">
        <v>0</v>
      </c>
      <c r="J28" s="3" t="n">
        <v>0</v>
      </c>
      <c r="K28" s="3" t="n">
        <v>0</v>
      </c>
      <c r="L28" s="13" t="n">
        <v>512</v>
      </c>
      <c r="M28" s="13" t="n">
        <v>512</v>
      </c>
      <c r="N28" s="13" t="n">
        <v>0</v>
      </c>
      <c r="O28" s="3">
        <f>C28*D28/1024</f>
        <v/>
      </c>
      <c r="P28" s="3" t="n">
        <v>0</v>
      </c>
      <c r="Q28" s="3" t="n">
        <v>0</v>
      </c>
      <c r="R28" s="3">
        <f>L28*M28/1024</f>
        <v/>
      </c>
      <c r="S28" s="3">
        <f>C28*D28/128</f>
        <v/>
      </c>
      <c r="T28" s="3">
        <f>(S28/$Y$2)/1000</f>
        <v/>
      </c>
      <c r="U28" s="26">
        <f>((O28*8*1024)/$T28)/1000</f>
        <v/>
      </c>
      <c r="V28" s="26">
        <f>((P28*8*1024)/$T28)/1000</f>
        <v/>
      </c>
      <c r="W28" s="26">
        <f>((Q28*8*1024)/$T28)/1000</f>
        <v/>
      </c>
      <c r="X28" s="26">
        <f>((R28*8*1024)/$T28)/1000</f>
        <v/>
      </c>
    </row>
    <row r="29">
      <c r="A29" s="7" t="inlineStr">
        <is>
          <t>attn @ V (1 head)</t>
        </is>
      </c>
      <c r="B29" s="7" t="inlineStr">
        <is>
          <t>multiply</t>
        </is>
      </c>
      <c r="C29" s="11" t="n">
        <v>512</v>
      </c>
      <c r="D29" s="11" t="n">
        <v>64</v>
      </c>
      <c r="E29" s="11" t="n">
        <v>0</v>
      </c>
      <c r="F29" s="2" t="n">
        <v>0</v>
      </c>
      <c r="G29" s="2" t="n">
        <v>512</v>
      </c>
      <c r="H29" s="2" t="n">
        <v>0</v>
      </c>
      <c r="I29" s="3" t="n">
        <v>0</v>
      </c>
      <c r="J29" s="3" t="n">
        <v>0</v>
      </c>
      <c r="K29" s="3" t="n">
        <v>0</v>
      </c>
      <c r="L29" s="13" t="n">
        <v>512</v>
      </c>
      <c r="M29" s="13" t="n">
        <v>64</v>
      </c>
      <c r="N29" s="13" t="n">
        <v>0</v>
      </c>
      <c r="O29" s="3">
        <f>C29*D29/1024</f>
        <v/>
      </c>
      <c r="P29" s="3" t="n">
        <v>0</v>
      </c>
      <c r="Q29" s="3" t="n">
        <v>0</v>
      </c>
      <c r="R29" s="3">
        <f>L29*M29/1024</f>
        <v/>
      </c>
      <c r="S29" s="3">
        <f>C29*D29*G29/128</f>
        <v/>
      </c>
      <c r="T29" s="3">
        <f>(S29/$Y$2)/1000</f>
        <v/>
      </c>
      <c r="U29" s="26">
        <f>((O29*8*1024)/$T29)/1000</f>
        <v/>
      </c>
      <c r="V29" s="26">
        <f>((P29*8*1024)/$T29)/1000</f>
        <v/>
      </c>
      <c r="W29" s="26">
        <f>((Q29*8*1024)/$T29)/1000</f>
        <v/>
      </c>
      <c r="X29" s="26">
        <f>((R29*8*1024)/$T29)/1000</f>
        <v/>
      </c>
    </row>
    <row r="30">
      <c r="A30" s="7" t="inlineStr">
        <is>
          <t>attn @ V (1 head)</t>
        </is>
      </c>
      <c r="B30" s="7" t="inlineStr">
        <is>
          <t>accumulate</t>
        </is>
      </c>
      <c r="C30" s="11" t="n">
        <v>512</v>
      </c>
      <c r="D30" s="11" t="n">
        <v>64</v>
      </c>
      <c r="E30" s="11" t="n">
        <v>0</v>
      </c>
      <c r="F30" s="2" t="n">
        <v>0</v>
      </c>
      <c r="G30" s="2" t="n">
        <v>512</v>
      </c>
      <c r="H30" s="2" t="n">
        <v>0</v>
      </c>
      <c r="I30" s="3" t="n">
        <v>0</v>
      </c>
      <c r="J30" s="3" t="n">
        <v>0</v>
      </c>
      <c r="K30" s="3" t="n">
        <v>0</v>
      </c>
      <c r="L30" s="13" t="n">
        <v>512</v>
      </c>
      <c r="M30" s="13" t="n">
        <v>64</v>
      </c>
      <c r="N30" s="13" t="n">
        <v>0</v>
      </c>
      <c r="O30" s="3">
        <f>C30*D30/1024</f>
        <v/>
      </c>
      <c r="P30" s="3" t="n">
        <v>0</v>
      </c>
      <c r="Q30" s="3" t="n">
        <v>0</v>
      </c>
      <c r="R30" s="3">
        <f>L30*M30/1024</f>
        <v/>
      </c>
      <c r="S30" s="3">
        <f>C30*D30*G30/128</f>
        <v/>
      </c>
      <c r="T30" s="3">
        <f>(S30/$Y$2)/1000</f>
        <v/>
      </c>
      <c r="U30" s="26">
        <f>((O30*8*1024)/$T30)/1000</f>
        <v/>
      </c>
      <c r="V30" s="26">
        <f>((P30*8*1024)/$T30)/1000</f>
        <v/>
      </c>
      <c r="W30" s="26">
        <f>((Q30*8*1024)/$T30)/1000</f>
        <v/>
      </c>
      <c r="X30" s="26">
        <f>((R30*8*1024)/$T30)/1000</f>
        <v/>
      </c>
    </row>
    <row r="31">
      <c r="A31" s="7" t="inlineStr">
        <is>
          <t>concat heads</t>
        </is>
      </c>
      <c r="B31" s="7" t="inlineStr">
        <is>
          <t>reshape</t>
        </is>
      </c>
      <c r="C31" s="11" t="n">
        <v>256</v>
      </c>
      <c r="D31" s="11" t="n">
        <v>512</v>
      </c>
      <c r="E31" s="11" t="n">
        <v>0</v>
      </c>
      <c r="F31" s="2" t="n">
        <v>0</v>
      </c>
      <c r="G31" s="2" t="n">
        <v>0</v>
      </c>
      <c r="H31" s="2" t="n">
        <v>0</v>
      </c>
      <c r="I31" s="3" t="n">
        <v>0</v>
      </c>
      <c r="J31" s="3" t="n">
        <v>0</v>
      </c>
      <c r="K31" s="3" t="n">
        <v>0</v>
      </c>
      <c r="L31" s="13" t="n">
        <v>256</v>
      </c>
      <c r="M31" s="13" t="n">
        <v>512</v>
      </c>
      <c r="N31" s="13" t="n">
        <v>0</v>
      </c>
      <c r="O31" s="3">
        <f>C31*D31/1024</f>
        <v/>
      </c>
      <c r="P31" s="3" t="n">
        <v>0</v>
      </c>
      <c r="Q31" s="3" t="n">
        <v>0</v>
      </c>
      <c r="R31" s="3">
        <f>L31*M31/1024</f>
        <v/>
      </c>
      <c r="S31" s="3" t="inlineStr">
        <is>
          <t>0</t>
        </is>
      </c>
      <c r="T31" s="3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17" t="inlineStr">
        <is>
          <t>total 4 heads [us]</t>
        </is>
      </c>
      <c r="Z31" s="17">
        <f>4*(SUM(T21:T30))</f>
        <v/>
      </c>
    </row>
    <row r="32">
      <c r="A32" s="7" t="inlineStr">
        <is>
          <t>out proj D-&gt;D</t>
        </is>
      </c>
      <c r="B32" s="7" t="inlineStr">
        <is>
          <t>multiply</t>
        </is>
      </c>
      <c r="C32" s="11" t="n">
        <v>256</v>
      </c>
      <c r="D32" s="11" t="n">
        <v>512</v>
      </c>
      <c r="E32" s="11" t="n">
        <v>0</v>
      </c>
      <c r="F32" s="2" t="n">
        <v>0</v>
      </c>
      <c r="G32" s="2" t="n">
        <v>256</v>
      </c>
      <c r="H32" s="2" t="n">
        <v>0</v>
      </c>
      <c r="I32" s="3" t="n">
        <v>0</v>
      </c>
      <c r="J32" s="3" t="n">
        <v>0</v>
      </c>
      <c r="K32" s="3" t="n">
        <v>0</v>
      </c>
      <c r="L32" s="13" t="n">
        <v>256</v>
      </c>
      <c r="M32" s="13" t="n">
        <v>512</v>
      </c>
      <c r="N32" s="13" t="n">
        <v>0</v>
      </c>
      <c r="O32" s="3">
        <f>C32*D32/1024</f>
        <v/>
      </c>
      <c r="P32" s="3" t="n">
        <v>0</v>
      </c>
      <c r="Q32" s="3" t="n">
        <v>0</v>
      </c>
      <c r="R32" s="3">
        <f>L32*M32/1024</f>
        <v/>
      </c>
      <c r="S32" s="3">
        <f>C32*D32*G32/128</f>
        <v/>
      </c>
      <c r="T32" s="3">
        <f>(S32/$Y$2)/1000</f>
        <v/>
      </c>
      <c r="U32" s="26">
        <f>((O32*8*1024)/$T32)/1000</f>
        <v/>
      </c>
      <c r="V32" s="26">
        <f>((P32*8*1024)/$T32)/1000</f>
        <v/>
      </c>
      <c r="W32" s="26">
        <f>((Q32*8*1024)/$T32)/1000</f>
        <v/>
      </c>
      <c r="X32" s="26">
        <f>((R32*8*1024)/$T32)/1000</f>
        <v/>
      </c>
    </row>
    <row r="33">
      <c r="A33" s="7" t="inlineStr">
        <is>
          <t>out proj D-&gt;D</t>
        </is>
      </c>
      <c r="B33" s="7" t="inlineStr">
        <is>
          <t>accumulate</t>
        </is>
      </c>
      <c r="C33" s="11" t="n">
        <v>256</v>
      </c>
      <c r="D33" s="11" t="n">
        <v>512</v>
      </c>
      <c r="E33" s="11" t="n">
        <v>0</v>
      </c>
      <c r="F33" s="2" t="n">
        <v>0</v>
      </c>
      <c r="G33" s="2" t="n">
        <v>256</v>
      </c>
      <c r="H33" s="2" t="n">
        <v>0</v>
      </c>
      <c r="I33" s="3" t="n">
        <v>0</v>
      </c>
      <c r="J33" s="3" t="n">
        <v>0</v>
      </c>
      <c r="K33" s="3" t="n">
        <v>0</v>
      </c>
      <c r="L33" s="13" t="n">
        <v>256</v>
      </c>
      <c r="M33" s="13" t="n">
        <v>512</v>
      </c>
      <c r="N33" s="13" t="n">
        <v>0</v>
      </c>
      <c r="O33" s="3">
        <f>C33*D33/1024</f>
        <v/>
      </c>
      <c r="P33" s="3" t="n">
        <v>0</v>
      </c>
      <c r="Q33" s="3" t="n">
        <v>0</v>
      </c>
      <c r="R33" s="3">
        <f>L33*M33/1024</f>
        <v/>
      </c>
      <c r="S33" s="3">
        <f>C33*D33*G33/128</f>
        <v/>
      </c>
      <c r="T33" s="3">
        <f>(S33/$Y$2)/1000</f>
        <v/>
      </c>
      <c r="U33" s="26">
        <f>((O33*8*1024)/$T33)/1000</f>
        <v/>
      </c>
      <c r="V33" s="26">
        <f>((P33*8*1024)/$T33)/1000</f>
        <v/>
      </c>
      <c r="W33" s="26">
        <f>((Q33*8*1024)/$T33)/1000</f>
        <v/>
      </c>
      <c r="X33" s="26">
        <f>((R33*8*1024)/$T33)/1000</f>
        <v/>
      </c>
    </row>
    <row r="34">
      <c r="A34" s="7" t="inlineStr">
        <is>
          <t>Residual x+=msg</t>
        </is>
      </c>
      <c r="B34" s="7" t="inlineStr">
        <is>
          <t>add</t>
        </is>
      </c>
      <c r="C34" s="11" t="n">
        <v>256</v>
      </c>
      <c r="D34" s="11" t="n">
        <v>512</v>
      </c>
      <c r="E34" s="11" t="n">
        <v>0</v>
      </c>
      <c r="F34" s="2" t="n">
        <v>0</v>
      </c>
      <c r="G34" s="2" t="n">
        <v>0</v>
      </c>
      <c r="H34" s="2" t="n">
        <v>0</v>
      </c>
      <c r="I34" s="3" t="n">
        <v>0</v>
      </c>
      <c r="J34" s="3" t="n">
        <v>0</v>
      </c>
      <c r="K34" s="3" t="n">
        <v>0</v>
      </c>
      <c r="L34" s="13" t="n">
        <v>256</v>
      </c>
      <c r="M34" s="13" t="n">
        <v>512</v>
      </c>
      <c r="N34" s="13" t="n">
        <v>0</v>
      </c>
      <c r="O34" s="3">
        <f>C34*D34/1024</f>
        <v/>
      </c>
      <c r="P34" s="3" t="n">
        <v>0</v>
      </c>
      <c r="Q34" s="3" t="n">
        <v>0</v>
      </c>
      <c r="R34" s="3">
        <f>L34*M34/1024</f>
        <v/>
      </c>
      <c r="S34" s="3">
        <f>C34*D34/128</f>
        <v/>
      </c>
      <c r="T34" s="3">
        <f>(S34/$Y$2)/1000</f>
        <v/>
      </c>
      <c r="U34" s="26">
        <f>((O34*8*1024)/$T34)/1000</f>
        <v/>
      </c>
      <c r="V34" s="26">
        <f>((P34*8*1024)/$T34)/1000</f>
        <v/>
      </c>
      <c r="W34" s="26">
        <f>((Q34*8*1024)/$T34)/1000</f>
        <v/>
      </c>
      <c r="X34" s="26">
        <f>((R34*8*1024)/$T34)/1000</f>
        <v/>
      </c>
    </row>
    <row r="35">
      <c r="A35" s="7" t="inlineStr">
        <is>
          <t>merge MLP 2D-&gt;2D</t>
        </is>
      </c>
      <c r="B35" s="7" t="inlineStr">
        <is>
          <t>multiply</t>
        </is>
      </c>
      <c r="C35" s="11" t="n">
        <v>512</v>
      </c>
      <c r="D35" s="11" t="n">
        <v>512</v>
      </c>
      <c r="E35" s="11" t="n">
        <v>0</v>
      </c>
      <c r="F35" s="2" t="n">
        <v>0</v>
      </c>
      <c r="G35" s="2" t="n">
        <v>512</v>
      </c>
      <c r="H35" s="2" t="n">
        <v>0</v>
      </c>
      <c r="I35" s="3" t="n">
        <v>0</v>
      </c>
      <c r="J35" s="3" t="n">
        <v>0</v>
      </c>
      <c r="K35" s="3" t="n">
        <v>0</v>
      </c>
      <c r="L35" s="13" t="n">
        <v>512</v>
      </c>
      <c r="M35" s="13" t="n">
        <v>512</v>
      </c>
      <c r="N35" s="13" t="n">
        <v>0</v>
      </c>
      <c r="O35" s="3">
        <f>C35*D35/1024</f>
        <v/>
      </c>
      <c r="P35" s="3" t="n">
        <v>0</v>
      </c>
      <c r="Q35" s="3" t="n">
        <v>0</v>
      </c>
      <c r="R35" s="3">
        <f>L35*M35/1024</f>
        <v/>
      </c>
      <c r="S35" s="3">
        <f>C35*D35*G35/128</f>
        <v/>
      </c>
      <c r="T35" s="3">
        <f>(S35/$Y$2)/1000</f>
        <v/>
      </c>
      <c r="U35" s="26">
        <f>((O35*8*1024)/$T35)/1000</f>
        <v/>
      </c>
      <c r="V35" s="26">
        <f>((P35*8*1024)/$T35)/1000</f>
        <v/>
      </c>
      <c r="W35" s="26">
        <f>((Q35*8*1024)/$T35)/1000</f>
        <v/>
      </c>
      <c r="X35" s="26">
        <f>((R35*8*1024)/$T35)/1000</f>
        <v/>
      </c>
    </row>
    <row r="36">
      <c r="A36" s="7" t="inlineStr">
        <is>
          <t>merge MLP 2D-&gt;2D</t>
        </is>
      </c>
      <c r="B36" s="7" t="inlineStr">
        <is>
          <t>accumulate</t>
        </is>
      </c>
      <c r="C36" s="11" t="n">
        <v>512</v>
      </c>
      <c r="D36" s="11" t="n">
        <v>512</v>
      </c>
      <c r="E36" s="11" t="n">
        <v>0</v>
      </c>
      <c r="F36" s="2" t="n">
        <v>0</v>
      </c>
      <c r="G36" s="2" t="n">
        <v>512</v>
      </c>
      <c r="H36" s="2" t="n">
        <v>0</v>
      </c>
      <c r="I36" s="3" t="n">
        <v>0</v>
      </c>
      <c r="J36" s="3" t="n">
        <v>0</v>
      </c>
      <c r="K36" s="3" t="n">
        <v>0</v>
      </c>
      <c r="L36" s="13" t="n">
        <v>512</v>
      </c>
      <c r="M36" s="13" t="n">
        <v>512</v>
      </c>
      <c r="N36" s="13" t="n">
        <v>0</v>
      </c>
      <c r="O36" s="3">
        <f>C36*D36/1024</f>
        <v/>
      </c>
      <c r="P36" s="3" t="n">
        <v>0</v>
      </c>
      <c r="Q36" s="3" t="n">
        <v>0</v>
      </c>
      <c r="R36" s="3">
        <f>L36*M36/1024</f>
        <v/>
      </c>
      <c r="S36" s="3">
        <f>C36*D36*G36/128</f>
        <v/>
      </c>
      <c r="T36" s="3">
        <f>(S36/$Y$2)/1000</f>
        <v/>
      </c>
      <c r="U36" s="26">
        <f>((O36*8*1024)/$T36)/1000</f>
        <v/>
      </c>
      <c r="V36" s="26">
        <f>((P36*8*1024)/$T36)/1000</f>
        <v/>
      </c>
      <c r="W36" s="26">
        <f>((Q36*8*1024)/$T36)/1000</f>
        <v/>
      </c>
      <c r="X36" s="26">
        <f>((R36*8*1024)/$T36)/1000</f>
        <v/>
      </c>
    </row>
    <row r="37">
      <c r="A37" s="7" t="inlineStr">
        <is>
          <t>merge MLP relu</t>
        </is>
      </c>
      <c r="B37" s="7" t="inlineStr">
        <is>
          <t>relu</t>
        </is>
      </c>
      <c r="C37" s="11" t="n">
        <v>512</v>
      </c>
      <c r="D37" s="11" t="n">
        <v>512</v>
      </c>
      <c r="E37" s="11" t="n">
        <v>0</v>
      </c>
      <c r="F37" s="2" t="n">
        <v>0</v>
      </c>
      <c r="G37" s="2" t="n">
        <v>0</v>
      </c>
      <c r="H37" s="2" t="n">
        <v>0</v>
      </c>
      <c r="I37" s="3" t="n">
        <v>0</v>
      </c>
      <c r="J37" s="3" t="n">
        <v>0</v>
      </c>
      <c r="K37" s="3" t="n">
        <v>0</v>
      </c>
      <c r="L37" s="13" t="n">
        <v>512</v>
      </c>
      <c r="M37" s="13" t="n">
        <v>512</v>
      </c>
      <c r="N37" s="13" t="n">
        <v>0</v>
      </c>
      <c r="O37" s="3">
        <f>C37*D37/1024</f>
        <v/>
      </c>
      <c r="P37" s="3" t="n">
        <v>0</v>
      </c>
      <c r="Q37" s="3" t="n">
        <v>0</v>
      </c>
      <c r="R37" s="3">
        <f>L37*M37/1024</f>
        <v/>
      </c>
      <c r="S37" s="3">
        <f>C37*D37/128</f>
        <v/>
      </c>
      <c r="T37" s="3">
        <f>(S37/$Y$2)/1000</f>
        <v/>
      </c>
      <c r="U37" s="26">
        <f>((O37*8*1024)/$T37)/1000</f>
        <v/>
      </c>
      <c r="V37" s="26">
        <f>((P37*8*1024)/$T37)/1000</f>
        <v/>
      </c>
      <c r="W37" s="26">
        <f>((Q37*8*1024)/$T37)/1000</f>
        <v/>
      </c>
      <c r="X37" s="26">
        <f>((R37*8*1024)/$T37)/1000</f>
        <v/>
      </c>
    </row>
    <row r="38">
      <c r="A38" s="7" t="inlineStr">
        <is>
          <t>merge MLP 2D-&gt;D</t>
        </is>
      </c>
      <c r="B38" s="7" t="inlineStr">
        <is>
          <t>multiply</t>
        </is>
      </c>
      <c r="C38" s="11" t="n">
        <v>256</v>
      </c>
      <c r="D38" s="11" t="n">
        <v>512</v>
      </c>
      <c r="E38" s="11" t="n">
        <v>0</v>
      </c>
      <c r="F38" s="2" t="n">
        <v>0</v>
      </c>
      <c r="G38" s="2" t="n">
        <v>512</v>
      </c>
      <c r="H38" s="2" t="n">
        <v>0</v>
      </c>
      <c r="I38" s="3" t="n">
        <v>0</v>
      </c>
      <c r="J38" s="3" t="n">
        <v>0</v>
      </c>
      <c r="K38" s="3" t="n">
        <v>0</v>
      </c>
      <c r="L38" s="13" t="n">
        <v>256</v>
      </c>
      <c r="M38" s="13" t="n">
        <v>512</v>
      </c>
      <c r="N38" s="13" t="n">
        <v>0</v>
      </c>
      <c r="O38" s="3">
        <f>C38*D38/1024</f>
        <v/>
      </c>
      <c r="P38" s="3" t="n">
        <v>0</v>
      </c>
      <c r="Q38" s="3" t="n">
        <v>0</v>
      </c>
      <c r="R38" s="3">
        <f>L38*M38/1024</f>
        <v/>
      </c>
      <c r="S38" s="3">
        <f>C38*D38*G38/128</f>
        <v/>
      </c>
      <c r="T38" s="3">
        <f>(S38/$Y$2)/1000</f>
        <v/>
      </c>
      <c r="U38" s="26">
        <f>((O38*8*1024)/$T38)/1000</f>
        <v/>
      </c>
      <c r="V38" s="26">
        <f>((P38*8*1024)/$T38)/1000</f>
        <v/>
      </c>
      <c r="W38" s="26">
        <f>((Q38*8*1024)/$T38)/1000</f>
        <v/>
      </c>
      <c r="X38" s="26">
        <f>((R38*8*1024)/$T38)/1000</f>
        <v/>
      </c>
    </row>
    <row r="39">
      <c r="A39" s="7" t="inlineStr">
        <is>
          <t>merge MLP 2D-&gt;D</t>
        </is>
      </c>
      <c r="B39" s="7" t="inlineStr">
        <is>
          <t>accumulate</t>
        </is>
      </c>
      <c r="C39" s="11" t="n">
        <v>256</v>
      </c>
      <c r="D39" s="11" t="n">
        <v>512</v>
      </c>
      <c r="E39" s="11" t="n">
        <v>0</v>
      </c>
      <c r="F39" s="2" t="n">
        <v>0</v>
      </c>
      <c r="G39" s="2" t="n">
        <v>512</v>
      </c>
      <c r="H39" s="2" t="n">
        <v>0</v>
      </c>
      <c r="I39" s="3" t="n">
        <v>0</v>
      </c>
      <c r="J39" s="3" t="n">
        <v>0</v>
      </c>
      <c r="K39" s="3" t="n">
        <v>0</v>
      </c>
      <c r="L39" s="13" t="n">
        <v>256</v>
      </c>
      <c r="M39" s="13" t="n">
        <v>512</v>
      </c>
      <c r="N39" s="13" t="n">
        <v>0</v>
      </c>
      <c r="O39" s="3">
        <f>C39*D39/1024</f>
        <v/>
      </c>
      <c r="P39" s="3" t="n">
        <v>0</v>
      </c>
      <c r="Q39" s="3" t="n">
        <v>0</v>
      </c>
      <c r="R39" s="3">
        <f>L39*M39/1024</f>
        <v/>
      </c>
      <c r="S39" s="3">
        <f>C39*D39*G39/128</f>
        <v/>
      </c>
      <c r="T39" s="3">
        <f>(S39/$Y$2)/1000</f>
        <v/>
      </c>
      <c r="U39" s="26">
        <f>((O39*8*1024)/$T39)/1000</f>
        <v/>
      </c>
      <c r="V39" s="26">
        <f>((P39*8*1024)/$T39)/1000</f>
        <v/>
      </c>
      <c r="W39" s="26">
        <f>((Q39*8*1024)/$T39)/1000</f>
        <v/>
      </c>
      <c r="X39" s="26">
        <f>((R39*8*1024)/$T39)/1000</f>
        <v/>
      </c>
    </row>
    <row r="40">
      <c r="A40" s="7" t="inlineStr">
        <is>
          <t>Residual x+=mlp</t>
        </is>
      </c>
      <c r="B40" s="7" t="inlineStr">
        <is>
          <t>add</t>
        </is>
      </c>
      <c r="C40" s="11" t="n">
        <v>256</v>
      </c>
      <c r="D40" s="11" t="n">
        <v>512</v>
      </c>
      <c r="E40" s="11" t="n">
        <v>0</v>
      </c>
      <c r="F40" s="2" t="n">
        <v>0</v>
      </c>
      <c r="G40" s="2" t="n">
        <v>0</v>
      </c>
      <c r="H40" s="2" t="n">
        <v>0</v>
      </c>
      <c r="I40" s="3" t="n">
        <v>0</v>
      </c>
      <c r="J40" s="3" t="n">
        <v>0</v>
      </c>
      <c r="K40" s="3" t="n">
        <v>0</v>
      </c>
      <c r="L40" s="13" t="n">
        <v>256</v>
      </c>
      <c r="M40" s="13" t="n">
        <v>512</v>
      </c>
      <c r="N40" s="13" t="n">
        <v>0</v>
      </c>
      <c r="O40" s="3">
        <f>C40*D40/1024</f>
        <v/>
      </c>
      <c r="P40" s="3" t="n">
        <v>0</v>
      </c>
      <c r="Q40" s="3" t="n">
        <v>0</v>
      </c>
      <c r="R40" s="3">
        <f>L40*M40/1024</f>
        <v/>
      </c>
      <c r="S40" s="3">
        <f>C40*D40/128</f>
        <v/>
      </c>
      <c r="T40" s="3">
        <f>(S40/$Y$2)/1000</f>
        <v/>
      </c>
      <c r="U40" s="26">
        <f>((O40*8*1024)/$T40)/1000</f>
        <v/>
      </c>
      <c r="V40" s="26">
        <f>((P40*8*1024)/$T40)/1000</f>
        <v/>
      </c>
      <c r="W40" s="26">
        <f>((Q40*8*1024)/$T40)/1000</f>
        <v/>
      </c>
      <c r="X40" s="26">
        <f>((R40*8*1024)/$T40)/1000</f>
        <v/>
      </c>
      <c r="Y40" s="17" t="inlineStr">
        <is>
          <t>GNN total [us] -&gt;</t>
        </is>
      </c>
      <c r="Z40" s="17">
        <f>36*(SUM(T12:T40)+3*(SUM(T21:T30)))</f>
        <v/>
      </c>
    </row>
    <row r="41">
      <c r="A41" s="7" t="inlineStr">
        <is>
          <t>final proj D-&gt;D</t>
        </is>
      </c>
      <c r="B41" s="7" t="inlineStr">
        <is>
          <t>multiply</t>
        </is>
      </c>
      <c r="C41" s="11" t="n">
        <v>256</v>
      </c>
      <c r="D41" s="11" t="n">
        <v>512</v>
      </c>
      <c r="E41" s="11" t="n">
        <v>0</v>
      </c>
      <c r="F41" s="2" t="n">
        <v>0</v>
      </c>
      <c r="G41" s="2" t="n">
        <v>256</v>
      </c>
      <c r="H41" s="2" t="n">
        <v>0</v>
      </c>
      <c r="I41" s="3" t="n">
        <v>0</v>
      </c>
      <c r="J41" s="3" t="n">
        <v>0</v>
      </c>
      <c r="K41" s="3" t="n">
        <v>0</v>
      </c>
      <c r="L41" s="13" t="n">
        <v>256</v>
      </c>
      <c r="M41" s="13" t="n">
        <v>512</v>
      </c>
      <c r="N41" s="13" t="n">
        <v>0</v>
      </c>
      <c r="O41" s="3">
        <f>C41*D41/1024</f>
        <v/>
      </c>
      <c r="P41" s="3" t="n">
        <v>0</v>
      </c>
      <c r="Q41" s="3" t="n">
        <v>0</v>
      </c>
      <c r="R41" s="3">
        <f>L41*M41/1024</f>
        <v/>
      </c>
      <c r="S41" s="3">
        <f>C41*D41*G41/128</f>
        <v/>
      </c>
      <c r="T41" s="3">
        <f>(S41/$Y$2)/1000</f>
        <v/>
      </c>
      <c r="U41" s="26">
        <f>((O41*8*1024)/$T41)/1000</f>
        <v/>
      </c>
      <c r="V41" s="26">
        <f>((P41*8*1024)/$T41)/1000</f>
        <v/>
      </c>
      <c r="W41" s="26">
        <f>((Q41*8*1024)/$T41)/1000</f>
        <v/>
      </c>
      <c r="X41" s="26">
        <f>((R41*8*1024)/$T41)/1000</f>
        <v/>
      </c>
    </row>
    <row r="42">
      <c r="A42" s="7" t="inlineStr">
        <is>
          <t>final proj D-&gt;D</t>
        </is>
      </c>
      <c r="B42" s="7" t="inlineStr">
        <is>
          <t>accumulate</t>
        </is>
      </c>
      <c r="C42" s="11" t="n">
        <v>256</v>
      </c>
      <c r="D42" s="11" t="n">
        <v>512</v>
      </c>
      <c r="E42" s="11" t="n">
        <v>0</v>
      </c>
      <c r="F42" s="2" t="n">
        <v>0</v>
      </c>
      <c r="G42" s="2" t="n">
        <v>256</v>
      </c>
      <c r="H42" s="2" t="n">
        <v>0</v>
      </c>
      <c r="I42" s="3" t="n">
        <v>0</v>
      </c>
      <c r="J42" s="3" t="n">
        <v>0</v>
      </c>
      <c r="K42" s="3" t="n">
        <v>0</v>
      </c>
      <c r="L42" s="13" t="n">
        <v>256</v>
      </c>
      <c r="M42" s="13" t="n">
        <v>512</v>
      </c>
      <c r="N42" s="13" t="n">
        <v>0</v>
      </c>
      <c r="O42" s="3">
        <f>C42*D42/1024</f>
        <v/>
      </c>
      <c r="P42" s="3" t="n">
        <v>0</v>
      </c>
      <c r="Q42" s="3" t="n">
        <v>0</v>
      </c>
      <c r="R42" s="3">
        <f>L42*M42/1024</f>
        <v/>
      </c>
      <c r="S42" s="3">
        <f>C42*D42*G42/128</f>
        <v/>
      </c>
      <c r="T42" s="3">
        <f>(S42/$Y$2)/1000</f>
        <v/>
      </c>
      <c r="U42" s="26">
        <f>((O42*8*1024)/$T42)/1000</f>
        <v/>
      </c>
      <c r="V42" s="26">
        <f>((P42*8*1024)/$T42)/1000</f>
        <v/>
      </c>
      <c r="W42" s="26">
        <f>((Q42*8*1024)/$T42)/1000</f>
        <v/>
      </c>
      <c r="X42" s="26">
        <f>((R42*8*1024)/$T42)/1000</f>
        <v/>
      </c>
    </row>
    <row r="43">
      <c r="A43" s="7" t="inlineStr">
        <is>
          <t>score = A^T B</t>
        </is>
      </c>
      <c r="B43" s="7" t="inlineStr">
        <is>
          <t>multiply</t>
        </is>
      </c>
      <c r="C43" s="11" t="n">
        <v>512</v>
      </c>
      <c r="D43" s="11" t="n">
        <v>512</v>
      </c>
      <c r="E43" s="11" t="n">
        <v>0</v>
      </c>
      <c r="F43" s="2" t="n">
        <v>0</v>
      </c>
      <c r="G43" s="2" t="n">
        <v>256</v>
      </c>
      <c r="H43" s="2" t="n">
        <v>0</v>
      </c>
      <c r="I43" s="3" t="n">
        <v>0</v>
      </c>
      <c r="J43" s="3" t="n">
        <v>0</v>
      </c>
      <c r="K43" s="3" t="n">
        <v>0</v>
      </c>
      <c r="L43" s="13" t="n">
        <v>512</v>
      </c>
      <c r="M43" s="13" t="n">
        <v>512</v>
      </c>
      <c r="N43" s="13" t="n">
        <v>0</v>
      </c>
      <c r="O43" s="3">
        <f>C43*D43/1024</f>
        <v/>
      </c>
      <c r="P43" s="3" t="n">
        <v>0</v>
      </c>
      <c r="Q43" s="3" t="n">
        <v>0</v>
      </c>
      <c r="R43" s="3">
        <f>L43*M43/1024</f>
        <v/>
      </c>
      <c r="S43" s="3">
        <f>C43*D43*G43/128</f>
        <v/>
      </c>
      <c r="T43" s="3">
        <f>(S43/$Y$2)/1000</f>
        <v/>
      </c>
      <c r="U43" s="26">
        <f>((O43*8*1024)/$T43)/1000</f>
        <v/>
      </c>
      <c r="V43" s="26">
        <f>((P43*8*1024)/$T43)/1000</f>
        <v/>
      </c>
      <c r="W43" s="26">
        <f>((Q43*8*1024)/$T43)/1000</f>
        <v/>
      </c>
      <c r="X43" s="26">
        <f>((R43*8*1024)/$T43)/1000</f>
        <v/>
      </c>
    </row>
    <row r="44">
      <c r="A44" s="7" t="inlineStr">
        <is>
          <t>score = A^T B</t>
        </is>
      </c>
      <c r="B44" s="7" t="inlineStr">
        <is>
          <t>accumulate</t>
        </is>
      </c>
      <c r="C44" s="11" t="n">
        <v>512</v>
      </c>
      <c r="D44" s="11" t="n">
        <v>512</v>
      </c>
      <c r="E44" s="11" t="n">
        <v>0</v>
      </c>
      <c r="F44" s="2" t="n">
        <v>0</v>
      </c>
      <c r="G44" s="2" t="n">
        <v>256</v>
      </c>
      <c r="H44" s="2" t="n">
        <v>0</v>
      </c>
      <c r="I44" s="3" t="n">
        <v>0</v>
      </c>
      <c r="J44" s="3" t="n">
        <v>0</v>
      </c>
      <c r="K44" s="3" t="n">
        <v>0</v>
      </c>
      <c r="L44" s="13" t="n">
        <v>512</v>
      </c>
      <c r="M44" s="13" t="n">
        <v>512</v>
      </c>
      <c r="N44" s="13" t="n">
        <v>0</v>
      </c>
      <c r="O44" s="3">
        <f>C44*D44/1024</f>
        <v/>
      </c>
      <c r="P44" s="3" t="n">
        <v>0</v>
      </c>
      <c r="Q44" s="3" t="n">
        <v>0</v>
      </c>
      <c r="R44" s="3">
        <f>L44*M44/1024</f>
        <v/>
      </c>
      <c r="S44" s="3">
        <f>C44*D44*G44/128</f>
        <v/>
      </c>
      <c r="T44" s="3">
        <f>(S44/$Y$2)/1000</f>
        <v/>
      </c>
      <c r="U44" s="26">
        <f>((O44*8*1024)/$T44)/1000</f>
        <v/>
      </c>
      <c r="V44" s="26">
        <f>((P44*8*1024)/$T44)/1000</f>
        <v/>
      </c>
      <c r="W44" s="26">
        <f>((Q44*8*1024)/$T44)/1000</f>
        <v/>
      </c>
      <c r="X44" s="26">
        <f>((R44*8*1024)/$T44)/1000</f>
        <v/>
      </c>
    </row>
    <row r="45">
      <c r="A45" s="7" t="inlineStr">
        <is>
          <t>scale 1/sqrt(d)</t>
        </is>
      </c>
      <c r="B45" s="7" t="inlineStr">
        <is>
          <t>multiply</t>
        </is>
      </c>
      <c r="C45" s="11" t="n">
        <v>512</v>
      </c>
      <c r="D45" s="11" t="n">
        <v>512</v>
      </c>
      <c r="E45" s="11" t="n">
        <v>0</v>
      </c>
      <c r="F45" s="2" t="n">
        <v>0</v>
      </c>
      <c r="G45" s="2" t="n">
        <v>0</v>
      </c>
      <c r="H45" s="2" t="n">
        <v>0</v>
      </c>
      <c r="I45" s="3" t="n">
        <v>0</v>
      </c>
      <c r="J45" s="3" t="n">
        <v>0</v>
      </c>
      <c r="K45" s="3" t="n">
        <v>0</v>
      </c>
      <c r="L45" s="13" t="n">
        <v>512</v>
      </c>
      <c r="M45" s="13" t="n">
        <v>512</v>
      </c>
      <c r="N45" s="13" t="n">
        <v>0</v>
      </c>
      <c r="O45" s="3">
        <f>C45*D45/1024</f>
        <v/>
      </c>
      <c r="P45" s="3" t="n">
        <v>0</v>
      </c>
      <c r="Q45" s="3" t="n">
        <v>0</v>
      </c>
      <c r="R45" s="3">
        <f>L45*M45/1024</f>
        <v/>
      </c>
      <c r="S45" s="3">
        <f>C45*D45/128</f>
        <v/>
      </c>
      <c r="T45" s="3">
        <f>(S45/$Y$2)/1000</f>
        <v/>
      </c>
      <c r="U45" s="26">
        <f>((O45*8*1024)/$T45)/1000</f>
        <v/>
      </c>
      <c r="V45" s="26">
        <f>((P45*8*1024)/$T45)/1000</f>
        <v/>
      </c>
      <c r="W45" s="26">
        <f>((Q45*8*1024)/$T45)/1000</f>
        <v/>
      </c>
      <c r="X45" s="26">
        <f>((R45*8*1024)/$T45)/1000</f>
        <v/>
      </c>
    </row>
    <row r="46">
      <c r="A46" s="7" t="inlineStr">
        <is>
          <t>dustbin augment</t>
        </is>
      </c>
      <c r="B46" s="7" t="inlineStr">
        <is>
          <t>reshape</t>
        </is>
      </c>
      <c r="C46" s="11" t="n">
        <v>513</v>
      </c>
      <c r="D46" s="11" t="n">
        <v>513</v>
      </c>
      <c r="E46" s="11" t="n">
        <v>0</v>
      </c>
      <c r="F46" s="2" t="n">
        <v>0</v>
      </c>
      <c r="G46" s="2" t="n">
        <v>0</v>
      </c>
      <c r="H46" s="2" t="n">
        <v>0</v>
      </c>
      <c r="I46" s="3" t="n">
        <v>0</v>
      </c>
      <c r="J46" s="3" t="n">
        <v>0</v>
      </c>
      <c r="K46" s="3" t="n">
        <v>0</v>
      </c>
      <c r="L46" s="13" t="n">
        <v>513</v>
      </c>
      <c r="M46" s="13" t="n">
        <v>513</v>
      </c>
      <c r="N46" s="13" t="n">
        <v>0</v>
      </c>
      <c r="O46" s="3">
        <f>C46*D46/1024</f>
        <v/>
      </c>
      <c r="P46" s="3" t="n">
        <v>0</v>
      </c>
      <c r="Q46" s="3" t="n">
        <v>0</v>
      </c>
      <c r="R46" s="3">
        <f>L46*M46/1024</f>
        <v/>
      </c>
      <c r="S46" s="3" t="inlineStr">
        <is>
          <t>0</t>
        </is>
      </c>
      <c r="T46" s="3" t="n">
        <v>0</v>
      </c>
      <c r="U46" s="26" t="n">
        <v>0</v>
      </c>
      <c r="V46" s="26" t="n">
        <v>0</v>
      </c>
      <c r="W46" s="26" t="n">
        <v>0</v>
      </c>
      <c r="X46" s="26" t="n">
        <v>0</v>
      </c>
    </row>
    <row r="47">
      <c r="A47" s="7" t="inlineStr">
        <is>
          <t>Sinkhorn row norm</t>
        </is>
      </c>
      <c r="B47" s="7" t="inlineStr">
        <is>
          <t>sum</t>
        </is>
      </c>
      <c r="C47" s="11" t="n">
        <v>513</v>
      </c>
      <c r="D47" s="11" t="n">
        <v>513</v>
      </c>
      <c r="E47" s="11" t="n">
        <v>0</v>
      </c>
      <c r="F47" s="2" t="n">
        <v>0</v>
      </c>
      <c r="G47" s="2" t="n">
        <v>0</v>
      </c>
      <c r="H47" s="2" t="n">
        <v>0</v>
      </c>
      <c r="I47" s="3" t="n">
        <v>0</v>
      </c>
      <c r="J47" s="3" t="n">
        <v>0</v>
      </c>
      <c r="K47" s="3" t="n">
        <v>0</v>
      </c>
      <c r="L47" s="13" t="n">
        <v>513</v>
      </c>
      <c r="M47" s="13" t="n">
        <v>513</v>
      </c>
      <c r="N47" s="13" t="n">
        <v>0</v>
      </c>
      <c r="O47" s="3">
        <f>C47*D47/1024</f>
        <v/>
      </c>
      <c r="P47" s="3" t="n">
        <v>0</v>
      </c>
      <c r="Q47" s="3" t="n">
        <v>0</v>
      </c>
      <c r="R47" s="3">
        <f>L47*M47/1024</f>
        <v/>
      </c>
      <c r="S47" s="3">
        <f>C47*D47/128</f>
        <v/>
      </c>
      <c r="T47" s="3">
        <f>(S47/$Y$2)/1000</f>
        <v/>
      </c>
      <c r="U47" s="26">
        <f>((O47*8*1024)/$T47)/1000</f>
        <v/>
      </c>
      <c r="V47" s="26">
        <f>((P47*8*1024)/$T47)/1000</f>
        <v/>
      </c>
      <c r="W47" s="26">
        <f>((Q47*8*1024)/$T47)/1000</f>
        <v/>
      </c>
      <c r="X47" s="26">
        <f>((R47*8*1024)/$T47)/1000</f>
        <v/>
      </c>
    </row>
    <row r="48">
      <c r="A48" s="7" t="inlineStr">
        <is>
          <t>Sinkhorn row norm</t>
        </is>
      </c>
      <c r="B48" s="7" t="inlineStr">
        <is>
          <t>multiply(1/r)</t>
        </is>
      </c>
      <c r="C48" s="11" t="n">
        <v>513</v>
      </c>
      <c r="D48" s="11" t="n">
        <v>513</v>
      </c>
      <c r="E48" s="11" t="n">
        <v>0</v>
      </c>
      <c r="F48" s="2" t="n">
        <v>0</v>
      </c>
      <c r="G48" s="2" t="n">
        <v>0</v>
      </c>
      <c r="H48" s="2" t="n">
        <v>0</v>
      </c>
      <c r="I48" s="3" t="n">
        <v>0</v>
      </c>
      <c r="J48" s="3" t="n">
        <v>0</v>
      </c>
      <c r="K48" s="3" t="n">
        <v>0</v>
      </c>
      <c r="L48" s="13" t="n">
        <v>513</v>
      </c>
      <c r="M48" s="13" t="n">
        <v>513</v>
      </c>
      <c r="N48" s="13" t="n">
        <v>0</v>
      </c>
      <c r="O48" s="3">
        <f>C48*D48/1024</f>
        <v/>
      </c>
      <c r="P48" s="3" t="n">
        <v>0</v>
      </c>
      <c r="Q48" s="3" t="n">
        <v>0</v>
      </c>
      <c r="R48" s="3">
        <f>L48*M48/1024</f>
        <v/>
      </c>
      <c r="S48" s="3">
        <f>C48*D48/128</f>
        <v/>
      </c>
      <c r="T48" s="3">
        <f>(S48/$Y$2)/1000</f>
        <v/>
      </c>
      <c r="U48" s="26">
        <f>((O48*8*1024)/$T48)/1000</f>
        <v/>
      </c>
      <c r="V48" s="26">
        <f>((P48*8*1024)/$T48)/1000</f>
        <v/>
      </c>
      <c r="W48" s="26">
        <f>((Q48*8*1024)/$T48)/1000</f>
        <v/>
      </c>
      <c r="X48" s="26">
        <f>((R48*8*1024)/$T48)/1000</f>
        <v/>
      </c>
    </row>
    <row r="49">
      <c r="A49" s="7" t="inlineStr">
        <is>
          <t>Sinkhorn col transpose</t>
        </is>
      </c>
      <c r="B49" s="7" t="inlineStr">
        <is>
          <t>move</t>
        </is>
      </c>
      <c r="C49" s="11" t="n">
        <v>513</v>
      </c>
      <c r="D49" s="11" t="n">
        <v>513</v>
      </c>
      <c r="E49" s="11" t="n">
        <v>0</v>
      </c>
      <c r="F49" s="2" t="n">
        <v>0</v>
      </c>
      <c r="G49" s="2" t="n">
        <v>0</v>
      </c>
      <c r="H49" s="2" t="n">
        <v>0</v>
      </c>
      <c r="I49" s="3" t="n">
        <v>0</v>
      </c>
      <c r="J49" s="3" t="n">
        <v>0</v>
      </c>
      <c r="K49" s="3" t="n">
        <v>0</v>
      </c>
      <c r="L49" s="13" t="n">
        <v>513</v>
      </c>
      <c r="M49" s="13" t="n">
        <v>513</v>
      </c>
      <c r="N49" s="13" t="n">
        <v>0</v>
      </c>
      <c r="O49" s="3">
        <f>C49*D49/1024</f>
        <v/>
      </c>
      <c r="P49" s="3" t="n">
        <v>0</v>
      </c>
      <c r="Q49" s="3" t="n">
        <v>0</v>
      </c>
      <c r="R49" s="3">
        <f>L49*M49/1024</f>
        <v/>
      </c>
      <c r="S49" s="3">
        <f>C49*D49/128</f>
        <v/>
      </c>
      <c r="T49" s="3">
        <f>(S49/$Y$2)/1000</f>
        <v/>
      </c>
      <c r="U49" s="26">
        <f>((O49*8*1024)/$T49)/1000</f>
        <v/>
      </c>
      <c r="V49" s="26">
        <f>((P49*8*1024)/$T49)/1000</f>
        <v/>
      </c>
      <c r="W49" s="26">
        <f>((Q49*8*1024)/$T49)/1000</f>
        <v/>
      </c>
      <c r="X49" s="26">
        <f>((R49*8*1024)/$T49)/1000</f>
        <v/>
      </c>
    </row>
    <row r="50">
      <c r="A50" s="7" t="inlineStr">
        <is>
          <t>Sinkhorn col norm</t>
        </is>
      </c>
      <c r="B50" s="7" t="inlineStr">
        <is>
          <t>sum</t>
        </is>
      </c>
      <c r="C50" s="11" t="n">
        <v>513</v>
      </c>
      <c r="D50" s="11" t="n">
        <v>513</v>
      </c>
      <c r="E50" s="11" t="n">
        <v>0</v>
      </c>
      <c r="F50" s="2" t="n">
        <v>0</v>
      </c>
      <c r="G50" s="2" t="n">
        <v>0</v>
      </c>
      <c r="H50" s="2" t="n">
        <v>0</v>
      </c>
      <c r="I50" s="3" t="n">
        <v>0</v>
      </c>
      <c r="J50" s="3" t="n">
        <v>0</v>
      </c>
      <c r="K50" s="3" t="n">
        <v>0</v>
      </c>
      <c r="L50" s="13" t="n">
        <v>513</v>
      </c>
      <c r="M50" s="13" t="n">
        <v>513</v>
      </c>
      <c r="N50" s="13" t="n">
        <v>0</v>
      </c>
      <c r="O50" s="3">
        <f>C50*D50/1024</f>
        <v/>
      </c>
      <c r="P50" s="3" t="n">
        <v>0</v>
      </c>
      <c r="Q50" s="3" t="n">
        <v>0</v>
      </c>
      <c r="R50" s="3">
        <f>L50*M50/1024</f>
        <v/>
      </c>
      <c r="S50" s="3">
        <f>C50*D50/128</f>
        <v/>
      </c>
      <c r="T50" s="3">
        <f>(S50/$Y$2)/1000</f>
        <v/>
      </c>
      <c r="U50" s="26">
        <f>((O50*8*1024)/$T50)/1000</f>
        <v/>
      </c>
      <c r="V50" s="26">
        <f>((P50*8*1024)/$T50)/1000</f>
        <v/>
      </c>
      <c r="W50" s="26">
        <f>((Q50*8*1024)/$T50)/1000</f>
        <v/>
      </c>
      <c r="X50" s="26">
        <f>((R50*8*1024)/$T50)/1000</f>
        <v/>
      </c>
    </row>
    <row r="51">
      <c r="A51" s="7" t="inlineStr">
        <is>
          <t>Sinkhorn col norm</t>
        </is>
      </c>
      <c r="B51" s="7" t="inlineStr">
        <is>
          <t>multiply(1/c)</t>
        </is>
      </c>
      <c r="C51" s="11" t="n">
        <v>513</v>
      </c>
      <c r="D51" s="11" t="n">
        <v>513</v>
      </c>
      <c r="E51" s="11" t="n">
        <v>0</v>
      </c>
      <c r="F51" s="2" t="n">
        <v>0</v>
      </c>
      <c r="G51" s="2" t="n">
        <v>0</v>
      </c>
      <c r="H51" s="2" t="n">
        <v>0</v>
      </c>
      <c r="I51" s="3" t="n">
        <v>0</v>
      </c>
      <c r="J51" s="3" t="n">
        <v>0</v>
      </c>
      <c r="K51" s="3" t="n">
        <v>0</v>
      </c>
      <c r="L51" s="13" t="n">
        <v>513</v>
      </c>
      <c r="M51" s="13" t="n">
        <v>513</v>
      </c>
      <c r="N51" s="13" t="n">
        <v>0</v>
      </c>
      <c r="O51" s="3">
        <f>C51*D51/1024</f>
        <v/>
      </c>
      <c r="P51" s="3" t="n">
        <v>0</v>
      </c>
      <c r="Q51" s="3" t="n">
        <v>0</v>
      </c>
      <c r="R51" s="3">
        <f>L51*M51/1024</f>
        <v/>
      </c>
      <c r="S51" s="3">
        <f>C51*D51/128</f>
        <v/>
      </c>
      <c r="T51" s="3">
        <f>(S51/$Y$2)/1000</f>
        <v/>
      </c>
      <c r="U51" s="26">
        <f>((O51*8*1024)/$T51)/1000</f>
        <v/>
      </c>
      <c r="V51" s="26">
        <f>((P51*8*1024)/$T51)/1000</f>
        <v/>
      </c>
      <c r="W51" s="26">
        <f>((Q51*8*1024)/$T51)/1000</f>
        <v/>
      </c>
      <c r="X51" s="26">
        <f>((R51*8*1024)/$T51)/1000</f>
        <v/>
      </c>
      <c r="Y51" s="17" t="inlineStr">
        <is>
          <t>Sinkhorn total (x100) [us] -&gt;</t>
        </is>
      </c>
      <c r="Z51" s="17">
        <f>100*(SUM(T47:T51))</f>
        <v/>
      </c>
    </row>
    <row r="52">
      <c r="A52" s="7" t="inlineStr">
        <is>
          <t>match readout (dual-softmax)</t>
        </is>
      </c>
      <c r="B52" s="7" t="inlineStr">
        <is>
          <t>max</t>
        </is>
      </c>
      <c r="C52" s="11" t="n">
        <v>513</v>
      </c>
      <c r="D52" s="11" t="n">
        <v>513</v>
      </c>
      <c r="E52" s="11" t="n">
        <v>0</v>
      </c>
      <c r="F52" s="2" t="n">
        <v>0</v>
      </c>
      <c r="G52" s="2" t="n">
        <v>0</v>
      </c>
      <c r="H52" s="2" t="n">
        <v>0</v>
      </c>
      <c r="I52" s="3" t="n">
        <v>0</v>
      </c>
      <c r="J52" s="3" t="n">
        <v>0</v>
      </c>
      <c r="K52" s="3" t="n">
        <v>0</v>
      </c>
      <c r="L52" s="13" t="n">
        <v>513</v>
      </c>
      <c r="M52" s="13" t="n">
        <v>513</v>
      </c>
      <c r="N52" s="13" t="n">
        <v>0</v>
      </c>
      <c r="O52" s="3">
        <f>C52*D52/1024</f>
        <v/>
      </c>
      <c r="P52" s="3" t="n">
        <v>0</v>
      </c>
      <c r="Q52" s="3" t="n">
        <v>0</v>
      </c>
      <c r="R52" s="3">
        <f>L52*M52/1024</f>
        <v/>
      </c>
      <c r="S52" s="3">
        <f>C52*D52/128</f>
        <v/>
      </c>
      <c r="T52" s="3">
        <f>(S52/$Y$2)/1000</f>
        <v/>
      </c>
      <c r="U52" s="26">
        <f>((O52*8*1024)/$T52)/1000</f>
        <v/>
      </c>
      <c r="V52" s="26">
        <f>((P52*8*1024)/$T52)/1000</f>
        <v/>
      </c>
      <c r="W52" s="26">
        <f>((Q52*8*1024)/$T52)/1000</f>
        <v/>
      </c>
      <c r="X52" s="26">
        <f>((R52*8*1024)/$T52)/1000</f>
        <v/>
      </c>
    </row>
    <row r="53">
      <c r="A53" s="7" t="inlineStr">
        <is>
          <t>match readout (dual-softmax)</t>
        </is>
      </c>
      <c r="B53" s="7" t="inlineStr">
        <is>
          <t>exp2</t>
        </is>
      </c>
      <c r="C53" s="11" t="n">
        <v>513</v>
      </c>
      <c r="D53" s="11" t="n">
        <v>513</v>
      </c>
      <c r="E53" s="11" t="n">
        <v>0</v>
      </c>
      <c r="F53" s="2" t="n">
        <v>0</v>
      </c>
      <c r="G53" s="2" t="n">
        <v>0</v>
      </c>
      <c r="H53" s="2" t="n">
        <v>0</v>
      </c>
      <c r="I53" s="3" t="n">
        <v>0</v>
      </c>
      <c r="J53" s="3" t="n">
        <v>0</v>
      </c>
      <c r="K53" s="3" t="n">
        <v>0</v>
      </c>
      <c r="L53" s="13" t="n">
        <v>513</v>
      </c>
      <c r="M53" s="13" t="n">
        <v>513</v>
      </c>
      <c r="N53" s="13" t="n">
        <v>0</v>
      </c>
      <c r="O53" s="3">
        <f>C53*D53/1024</f>
        <v/>
      </c>
      <c r="P53" s="3" t="n">
        <v>0</v>
      </c>
      <c r="Q53" s="3" t="n">
        <v>0</v>
      </c>
      <c r="R53" s="3">
        <f>L53*M53/1024</f>
        <v/>
      </c>
      <c r="S53" s="3">
        <f>C53*D53/128</f>
        <v/>
      </c>
      <c r="T53" s="3">
        <f>(S53/$Y$2)/1000</f>
        <v/>
      </c>
      <c r="U53" s="26">
        <f>((O53*8*1024)/$T53)/1000</f>
        <v/>
      </c>
      <c r="V53" s="26">
        <f>((P53*8*1024)/$T53)/1000</f>
        <v/>
      </c>
      <c r="W53" s="26">
        <f>((Q53*8*1024)/$T53)/1000</f>
        <v/>
      </c>
      <c r="X53" s="26">
        <f>((R53*8*1024)/$T53)/1000</f>
        <v/>
      </c>
    </row>
    <row r="54">
      <c r="A54" s="7" t="inlineStr">
        <is>
          <t>match readout (dual-softmax)</t>
        </is>
      </c>
      <c r="B54" s="7" t="inlineStr">
        <is>
          <t>sum</t>
        </is>
      </c>
      <c r="C54" s="11" t="n">
        <v>513</v>
      </c>
      <c r="D54" s="11" t="n">
        <v>513</v>
      </c>
      <c r="E54" s="11" t="n">
        <v>0</v>
      </c>
      <c r="F54" s="2" t="n">
        <v>0</v>
      </c>
      <c r="G54" s="2" t="n">
        <v>0</v>
      </c>
      <c r="H54" s="2" t="n">
        <v>0</v>
      </c>
      <c r="I54" s="3" t="n">
        <v>0</v>
      </c>
      <c r="J54" s="3" t="n">
        <v>0</v>
      </c>
      <c r="K54" s="3" t="n">
        <v>0</v>
      </c>
      <c r="L54" s="13" t="n">
        <v>513</v>
      </c>
      <c r="M54" s="13" t="n">
        <v>513</v>
      </c>
      <c r="N54" s="13" t="n">
        <v>0</v>
      </c>
      <c r="O54" s="3">
        <f>C54*D54/1024</f>
        <v/>
      </c>
      <c r="P54" s="3" t="n">
        <v>0</v>
      </c>
      <c r="Q54" s="3" t="n">
        <v>0</v>
      </c>
      <c r="R54" s="3">
        <f>L54*M54/1024</f>
        <v/>
      </c>
      <c r="S54" s="3">
        <f>C54*D54/128</f>
        <v/>
      </c>
      <c r="T54" s="3">
        <f>(S54/$Y$2)/1000</f>
        <v/>
      </c>
      <c r="U54" s="26">
        <f>((O54*8*1024)/$T54)/1000</f>
        <v/>
      </c>
      <c r="V54" s="26">
        <f>((P54*8*1024)/$T54)/1000</f>
        <v/>
      </c>
      <c r="W54" s="26">
        <f>((Q54*8*1024)/$T54)/1000</f>
        <v/>
      </c>
      <c r="X54" s="26">
        <f>((R54*8*1024)/$T54)/1000</f>
        <v/>
      </c>
    </row>
    <row r="55">
      <c r="A55" s="7" t="inlineStr">
        <is>
          <t>match readout (dual-softmax)</t>
        </is>
      </c>
      <c r="B55" s="7" t="inlineStr">
        <is>
          <t>subtract</t>
        </is>
      </c>
      <c r="C55" s="11" t="n">
        <v>513</v>
      </c>
      <c r="D55" s="11" t="n">
        <v>513</v>
      </c>
      <c r="E55" s="11" t="n">
        <v>0</v>
      </c>
      <c r="F55" s="2" t="n">
        <v>0</v>
      </c>
      <c r="G55" s="2" t="n">
        <v>0</v>
      </c>
      <c r="H55" s="2" t="n">
        <v>0</v>
      </c>
      <c r="I55" s="3" t="n">
        <v>0</v>
      </c>
      <c r="J55" s="3" t="n">
        <v>0</v>
      </c>
      <c r="K55" s="3" t="n">
        <v>0</v>
      </c>
      <c r="L55" s="13" t="n">
        <v>513</v>
      </c>
      <c r="M55" s="13" t="n">
        <v>513</v>
      </c>
      <c r="N55" s="13" t="n">
        <v>0</v>
      </c>
      <c r="O55" s="3">
        <f>C55*D55/1024</f>
        <v/>
      </c>
      <c r="P55" s="3" t="n">
        <v>0</v>
      </c>
      <c r="Q55" s="3" t="n">
        <v>0</v>
      </c>
      <c r="R55" s="3">
        <f>L55*M55/1024</f>
        <v/>
      </c>
      <c r="S55" s="3">
        <f>C55*D55/128</f>
        <v/>
      </c>
      <c r="T55" s="3">
        <f>(S55/$Y$2)/1000</f>
        <v/>
      </c>
      <c r="U55" s="26">
        <f>((O55*8*1024)/$T55)/1000</f>
        <v/>
      </c>
      <c r="V55" s="26">
        <f>((P55*8*1024)/$T55)/1000</f>
        <v/>
      </c>
      <c r="W55" s="26">
        <f>((Q55*8*1024)/$T55)/1000</f>
        <v/>
      </c>
      <c r="X55" s="26">
        <f>((R55*8*1024)/$T55)/1000</f>
        <v/>
      </c>
    </row>
    <row r="56">
      <c r="A56" s="7" t="inlineStr">
        <is>
          <t>match readout (dual-softmax)</t>
        </is>
      </c>
      <c r="B56" s="7" t="inlineStr">
        <is>
          <t>multiply</t>
        </is>
      </c>
      <c r="C56" s="11" t="n">
        <v>513</v>
      </c>
      <c r="D56" s="11" t="n">
        <v>513</v>
      </c>
      <c r="E56" s="11" t="n">
        <v>0</v>
      </c>
      <c r="F56" s="2" t="n">
        <v>0</v>
      </c>
      <c r="G56" s="2" t="n">
        <v>0</v>
      </c>
      <c r="H56" s="2" t="n">
        <v>0</v>
      </c>
      <c r="I56" s="3" t="n">
        <v>0</v>
      </c>
      <c r="J56" s="3" t="n">
        <v>0</v>
      </c>
      <c r="K56" s="3" t="n">
        <v>0</v>
      </c>
      <c r="L56" s="13" t="n">
        <v>513</v>
      </c>
      <c r="M56" s="13" t="n">
        <v>513</v>
      </c>
      <c r="N56" s="13" t="n">
        <v>0</v>
      </c>
      <c r="O56" s="3">
        <f>C56*D56/1024</f>
        <v/>
      </c>
      <c r="P56" s="3" t="n">
        <v>0</v>
      </c>
      <c r="Q56" s="3" t="n">
        <v>0</v>
      </c>
      <c r="R56" s="3">
        <f>L56*M56/1024</f>
        <v/>
      </c>
      <c r="S56" s="3">
        <f>C56*D56/128</f>
        <v/>
      </c>
      <c r="T56" s="3">
        <f>(S56/$Y$2)/1000</f>
        <v/>
      </c>
      <c r="U56" s="26">
        <f>((O56*8*1024)/$T56)/1000</f>
        <v/>
      </c>
      <c r="V56" s="26">
        <f>((P56*8*1024)/$T56)/1000</f>
        <v/>
      </c>
      <c r="W56" s="26">
        <f>((Q56*8*1024)/$T56)/1000</f>
        <v/>
      </c>
      <c r="X56" s="26">
        <f>((R56*8*1024)/$T56)/1000</f>
        <v/>
      </c>
    </row>
    <row r="58">
      <c r="A58" s="7" t="inlineStr">
        <is>
          <t>GRAND TOTAL [us]</t>
        </is>
      </c>
      <c r="Y58" s="17" t="inlineStr">
        <is>
          <t>variant: max_sinkhorn</t>
        </is>
      </c>
      <c r="Z58" s="17">
        <f>Z11+Z40+2*(SUM(T41:T42))+SUM(T43:T44)+T45+Z51+SUM(T52:T56)</f>
        <v/>
      </c>
    </row>
    <row r="59">
      <c r="A59" s="7" t="inlineStr">
        <is>
          <t>FPS (image pair)</t>
        </is>
      </c>
      <c r="Y59" s="17" t="inlineStr">
        <is>
          <t>frames / sec -&gt;</t>
        </is>
      </c>
      <c r="Z59" s="17">
        <f>1000000/Z58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.109375" customWidth="1" min="1" max="1"/>
    <col width="20.44140625" customWidth="1" min="2" max="2"/>
    <col width="4.109375" customWidth="1" min="3" max="3"/>
    <col width="13" customWidth="1" min="4" max="4"/>
    <col width="6.109375" customWidth="1" min="5" max="5"/>
    <col width="11.6640625" customWidth="1" min="6" max="6"/>
    <col width="5.44140625" customWidth="1" min="7" max="7"/>
    <col width="6.109375" customWidth="1" min="8" max="8"/>
    <col width="9.109375" customWidth="1" min="9" max="9"/>
    <col width="13" customWidth="1" min="10" max="10"/>
    <col width="13" customWidth="1" min="11" max="11"/>
    <col width="5.44140625" customWidth="1" min="12" max="12"/>
    <col width="13" customWidth="1" min="13" max="13"/>
    <col width="6.109375" customWidth="1" min="14" max="14"/>
    <col width="17.5546875" customWidth="1" min="15" max="15"/>
    <col width="13" customWidth="1" min="16" max="16"/>
    <col width="17.5546875" customWidth="1" min="17" max="17"/>
    <col width="17.77734375" customWidth="1" min="18" max="18"/>
    <col width="9.77734375" customWidth="1" min="19" max="19"/>
    <col width="11.21875" customWidth="1" min="20" max="20"/>
    <col width="10.88671875" customWidth="1" min="21" max="21"/>
    <col width="13" customWidth="1" min="22" max="22"/>
    <col width="10.5546875" customWidth="1" min="23" max="23"/>
    <col width="12.77734375" customWidth="1" min="24" max="24"/>
    <col width="30.33203125" customWidth="1" min="25" max="25"/>
    <col width="12.77734375" customWidth="1" min="26" max="26"/>
  </cols>
  <sheetData>
    <row r="1">
      <c r="A1" s="7" t="inlineStr">
        <is>
          <t>Layer</t>
        </is>
      </c>
      <c r="B1" s="7" t="inlineStr">
        <is>
          <t>Type</t>
        </is>
      </c>
      <c r="C1" s="10" t="inlineStr">
        <is>
          <t>H</t>
        </is>
      </c>
      <c r="D1" s="10" t="inlineStr">
        <is>
          <t>W</t>
        </is>
      </c>
      <c r="E1" s="10" t="inlineStr">
        <is>
          <t>Cin</t>
        </is>
      </c>
      <c r="F1" s="1" t="inlineStr">
        <is>
          <t>Filter/Weight</t>
        </is>
      </c>
      <c r="G1" s="1" t="inlineStr">
        <is>
          <t>Cin</t>
        </is>
      </c>
      <c r="H1" s="1" t="inlineStr">
        <is>
          <t>Cout</t>
        </is>
      </c>
      <c r="I1" s="4" t="inlineStr">
        <is>
          <t>BN</t>
        </is>
      </c>
      <c r="J1" s="4" t="inlineStr">
        <is>
          <t>D</t>
        </is>
      </c>
      <c r="K1" s="4" t="inlineStr">
        <is>
          <t>None</t>
        </is>
      </c>
      <c r="L1" s="14" t="inlineStr">
        <is>
          <t>H</t>
        </is>
      </c>
      <c r="M1" s="14" t="inlineStr">
        <is>
          <t>W</t>
        </is>
      </c>
      <c r="N1" s="14" t="inlineStr">
        <is>
          <t>Cin</t>
        </is>
      </c>
      <c r="O1" s="4" t="inlineStr">
        <is>
          <t>Input 1 Memory(kB)</t>
        </is>
      </c>
      <c r="P1" s="4" t="inlineStr">
        <is>
          <t>Input 2 Memory(kB)</t>
        </is>
      </c>
      <c r="Q1" s="4" t="inlineStr">
        <is>
          <t>Input 3 Memory(kB)</t>
        </is>
      </c>
      <c r="R1" s="4" t="inlineStr">
        <is>
          <t>Output Memory(kB)</t>
        </is>
      </c>
      <c r="S1" s="4" t="inlineStr">
        <is>
          <t xml:space="preserve">Cycles </t>
        </is>
      </c>
      <c r="T1" s="4" t="inlineStr">
        <is>
          <t>Time[us]</t>
        </is>
      </c>
      <c r="U1" s="4" t="inlineStr">
        <is>
          <t>BW 1(Gbps)</t>
        </is>
      </c>
      <c r="V1" s="4" t="inlineStr">
        <is>
          <t>BW 2(Gbps)</t>
        </is>
      </c>
      <c r="W1" s="4" t="inlineStr">
        <is>
          <t>BW 3(Gbps)</t>
        </is>
      </c>
      <c r="X1" s="4" t="inlineStr">
        <is>
          <t>BW Out(Gbps)</t>
        </is>
      </c>
      <c r="Y1" s="19" t="inlineStr">
        <is>
          <t>freq Ghz</t>
        </is>
      </c>
      <c r="Z1" s="16" t="inlineStr">
        <is>
          <t>Mem BW Gbps</t>
        </is>
      </c>
    </row>
    <row r="2">
      <c r="A2" s="7" t="inlineStr">
        <is>
          <t>Input</t>
        </is>
      </c>
      <c r="B2" s="7" t="inlineStr">
        <is>
          <t>kpt+desc load</t>
        </is>
      </c>
      <c r="C2" s="11" t="n">
        <v>256</v>
      </c>
      <c r="D2" s="11" t="n">
        <v>512</v>
      </c>
      <c r="E2" s="11" t="n">
        <v>0</v>
      </c>
      <c r="F2" s="2" t="n">
        <v>0</v>
      </c>
      <c r="G2" s="2" t="n">
        <v>0</v>
      </c>
      <c r="H2" s="2" t="n">
        <v>0</v>
      </c>
      <c r="I2" s="3" t="n">
        <v>0</v>
      </c>
      <c r="J2" s="3" t="n">
        <v>0</v>
      </c>
      <c r="K2" s="3" t="n">
        <v>0</v>
      </c>
      <c r="L2" s="13" t="n">
        <v>256</v>
      </c>
      <c r="M2" s="13" t="n">
        <v>512</v>
      </c>
      <c r="N2" s="13" t="n">
        <v>0</v>
      </c>
      <c r="O2" s="3">
        <f>C2*D2/1024</f>
        <v/>
      </c>
      <c r="P2" s="3" t="n">
        <v>0</v>
      </c>
      <c r="Q2" s="3" t="n">
        <v>0</v>
      </c>
      <c r="R2" s="3">
        <f>L2*M2/1024</f>
        <v/>
      </c>
      <c r="S2" s="3" t="inlineStr">
        <is>
          <t>0</t>
        </is>
      </c>
      <c r="T2" s="3" t="n">
        <v>0</v>
      </c>
      <c r="U2" s="26" t="n">
        <v>0</v>
      </c>
      <c r="V2" s="26" t="n">
        <v>0</v>
      </c>
      <c r="W2" s="26" t="n">
        <v>0</v>
      </c>
      <c r="X2" s="26" t="n">
        <v>0</v>
      </c>
      <c r="Y2" t="n">
        <v>1</v>
      </c>
      <c r="Z2" t="n">
        <v>8</v>
      </c>
    </row>
    <row r="3">
      <c r="A3" s="7" t="inlineStr">
        <is>
          <t>KptEnc 3-&gt;32</t>
        </is>
      </c>
      <c r="B3" s="7" t="inlineStr">
        <is>
          <t>multiply</t>
        </is>
      </c>
      <c r="C3" s="11" t="n">
        <v>32</v>
      </c>
      <c r="D3" s="11" t="n">
        <v>512</v>
      </c>
      <c r="E3" s="11" t="n">
        <v>0</v>
      </c>
      <c r="F3" s="2" t="n">
        <v>0</v>
      </c>
      <c r="G3" s="2" t="n">
        <v>3</v>
      </c>
      <c r="H3" s="2" t="n">
        <v>0</v>
      </c>
      <c r="I3" s="3" t="n">
        <v>0</v>
      </c>
      <c r="J3" s="3" t="n">
        <v>0</v>
      </c>
      <c r="K3" s="3" t="n">
        <v>0</v>
      </c>
      <c r="L3" s="13" t="n">
        <v>32</v>
      </c>
      <c r="M3" s="13" t="n">
        <v>512</v>
      </c>
      <c r="N3" s="13" t="n">
        <v>0</v>
      </c>
      <c r="O3" s="3">
        <f>C3*D3/1024</f>
        <v/>
      </c>
      <c r="P3" s="3" t="n">
        <v>0</v>
      </c>
      <c r="Q3" s="3" t="n">
        <v>0</v>
      </c>
      <c r="R3" s="3">
        <f>L3*M3/1024</f>
        <v/>
      </c>
      <c r="S3" s="3">
        <f>C3*D3*G3/128</f>
        <v/>
      </c>
      <c r="T3" s="3">
        <f>(S3/$Y$2)/1000</f>
        <v/>
      </c>
      <c r="U3" s="26">
        <f>((O3*8*1024)/$T3)/1000</f>
        <v/>
      </c>
      <c r="V3" s="26">
        <f>((P3*8*1024)/$T3)/1000</f>
        <v/>
      </c>
      <c r="W3" s="26">
        <f>((Q3*8*1024)/$T3)/1000</f>
        <v/>
      </c>
      <c r="X3" s="26">
        <f>((R3*8*1024)/$T3)/1000</f>
        <v/>
      </c>
    </row>
    <row r="4">
      <c r="A4" s="7" t="inlineStr">
        <is>
          <t>KptEnc 3-&gt;32</t>
        </is>
      </c>
      <c r="B4" s="7" t="inlineStr">
        <is>
          <t>accumulate</t>
        </is>
      </c>
      <c r="C4" s="11" t="n">
        <v>32</v>
      </c>
      <c r="D4" s="11" t="n">
        <v>512</v>
      </c>
      <c r="E4" s="11" t="n">
        <v>0</v>
      </c>
      <c r="F4" s="2" t="n">
        <v>0</v>
      </c>
      <c r="G4" s="2" t="n">
        <v>3</v>
      </c>
      <c r="H4" s="2" t="n">
        <v>0</v>
      </c>
      <c r="I4" s="3" t="n">
        <v>0</v>
      </c>
      <c r="J4" s="3" t="n">
        <v>0</v>
      </c>
      <c r="K4" s="3" t="n">
        <v>0</v>
      </c>
      <c r="L4" s="13" t="n">
        <v>32</v>
      </c>
      <c r="M4" s="13" t="n">
        <v>512</v>
      </c>
      <c r="N4" s="13" t="n">
        <v>0</v>
      </c>
      <c r="O4" s="3">
        <f>C4*D4/1024</f>
        <v/>
      </c>
      <c r="P4" s="3" t="n">
        <v>0</v>
      </c>
      <c r="Q4" s="3" t="n">
        <v>0</v>
      </c>
      <c r="R4" s="3">
        <f>L4*M4/1024</f>
        <v/>
      </c>
      <c r="S4" s="3">
        <f>C4*D4*G4/128</f>
        <v/>
      </c>
      <c r="T4" s="3">
        <f>(S4/$Y$2)/1000</f>
        <v/>
      </c>
      <c r="U4" s="26">
        <f>((O4*8*1024)/$T4)/1000</f>
        <v/>
      </c>
      <c r="V4" s="26">
        <f>((P4*8*1024)/$T4)/1000</f>
        <v/>
      </c>
      <c r="W4" s="26">
        <f>((Q4*8*1024)/$T4)/1000</f>
        <v/>
      </c>
      <c r="X4" s="26">
        <f>((R4*8*1024)/$T4)/1000</f>
        <v/>
      </c>
    </row>
    <row r="5">
      <c r="A5" s="7" t="inlineStr">
        <is>
          <t>KptEnc 32-&gt;64</t>
        </is>
      </c>
      <c r="B5" s="7" t="inlineStr">
        <is>
          <t>multiply</t>
        </is>
      </c>
      <c r="C5" s="11" t="n">
        <v>64</v>
      </c>
      <c r="D5" s="11" t="n">
        <v>512</v>
      </c>
      <c r="E5" s="11" t="n">
        <v>0</v>
      </c>
      <c r="F5" s="2" t="n">
        <v>0</v>
      </c>
      <c r="G5" s="2" t="n">
        <v>32</v>
      </c>
      <c r="H5" s="2" t="n">
        <v>0</v>
      </c>
      <c r="I5" s="3" t="n">
        <v>0</v>
      </c>
      <c r="J5" s="3" t="n">
        <v>0</v>
      </c>
      <c r="K5" s="3" t="n">
        <v>0</v>
      </c>
      <c r="L5" s="13" t="n">
        <v>64</v>
      </c>
      <c r="M5" s="13" t="n">
        <v>512</v>
      </c>
      <c r="N5" s="13" t="n">
        <v>0</v>
      </c>
      <c r="O5" s="3">
        <f>C5*D5/1024</f>
        <v/>
      </c>
      <c r="P5" s="3" t="n">
        <v>0</v>
      </c>
      <c r="Q5" s="3" t="n">
        <v>0</v>
      </c>
      <c r="R5" s="3">
        <f>L5*M5/1024</f>
        <v/>
      </c>
      <c r="S5" s="3">
        <f>C5*D5*G5/128</f>
        <v/>
      </c>
      <c r="T5" s="3">
        <f>(S5/$Y$2)/1000</f>
        <v/>
      </c>
      <c r="U5" s="26">
        <f>((O5*8*1024)/$T5)/1000</f>
        <v/>
      </c>
      <c r="V5" s="26">
        <f>((P5*8*1024)/$T5)/1000</f>
        <v/>
      </c>
      <c r="W5" s="26">
        <f>((Q5*8*1024)/$T5)/1000</f>
        <v/>
      </c>
      <c r="X5" s="26">
        <f>((R5*8*1024)/$T5)/1000</f>
        <v/>
      </c>
    </row>
    <row r="6">
      <c r="A6" s="7" t="inlineStr">
        <is>
          <t>KptEnc 32-&gt;64</t>
        </is>
      </c>
      <c r="B6" s="7" t="inlineStr">
        <is>
          <t>accumulate</t>
        </is>
      </c>
      <c r="C6" s="11" t="n">
        <v>64</v>
      </c>
      <c r="D6" s="11" t="n">
        <v>512</v>
      </c>
      <c r="E6" s="11" t="n">
        <v>0</v>
      </c>
      <c r="F6" s="2" t="n">
        <v>0</v>
      </c>
      <c r="G6" s="2" t="n">
        <v>32</v>
      </c>
      <c r="H6" s="2" t="n">
        <v>0</v>
      </c>
      <c r="I6" s="3" t="n">
        <v>0</v>
      </c>
      <c r="J6" s="3" t="n">
        <v>0</v>
      </c>
      <c r="K6" s="3" t="n">
        <v>0</v>
      </c>
      <c r="L6" s="13" t="n">
        <v>64</v>
      </c>
      <c r="M6" s="13" t="n">
        <v>512</v>
      </c>
      <c r="N6" s="13" t="n">
        <v>0</v>
      </c>
      <c r="O6" s="3">
        <f>C6*D6/1024</f>
        <v/>
      </c>
      <c r="P6" s="3" t="n">
        <v>0</v>
      </c>
      <c r="Q6" s="3" t="n">
        <v>0</v>
      </c>
      <c r="R6" s="3">
        <f>L6*M6/1024</f>
        <v/>
      </c>
      <c r="S6" s="3">
        <f>C6*D6*G6/128</f>
        <v/>
      </c>
      <c r="T6" s="3">
        <f>(S6/$Y$2)/1000</f>
        <v/>
      </c>
      <c r="U6" s="26">
        <f>((O6*8*1024)/$T6)/1000</f>
        <v/>
      </c>
      <c r="V6" s="26">
        <f>((P6*8*1024)/$T6)/1000</f>
        <v/>
      </c>
      <c r="W6" s="26">
        <f>((Q6*8*1024)/$T6)/1000</f>
        <v/>
      </c>
      <c r="X6" s="26">
        <f>((R6*8*1024)/$T6)/1000</f>
        <v/>
      </c>
    </row>
    <row r="7">
      <c r="A7" s="7" t="inlineStr">
        <is>
          <t>KptEnc 64-&gt;128</t>
        </is>
      </c>
      <c r="B7" s="7" t="inlineStr">
        <is>
          <t>multiply</t>
        </is>
      </c>
      <c r="C7" s="11" t="n">
        <v>128</v>
      </c>
      <c r="D7" s="11" t="n">
        <v>512</v>
      </c>
      <c r="E7" s="11" t="n">
        <v>0</v>
      </c>
      <c r="F7" s="2" t="n">
        <v>0</v>
      </c>
      <c r="G7" s="2" t="n">
        <v>64</v>
      </c>
      <c r="H7" s="2" t="n">
        <v>0</v>
      </c>
      <c r="I7" s="3" t="n">
        <v>0</v>
      </c>
      <c r="J7" s="3" t="n">
        <v>0</v>
      </c>
      <c r="K7" s="3" t="n">
        <v>0</v>
      </c>
      <c r="L7" s="13" t="n">
        <v>128</v>
      </c>
      <c r="M7" s="13" t="n">
        <v>512</v>
      </c>
      <c r="N7" s="13" t="n">
        <v>0</v>
      </c>
      <c r="O7" s="3">
        <f>C7*D7/1024</f>
        <v/>
      </c>
      <c r="P7" s="3" t="n">
        <v>0</v>
      </c>
      <c r="Q7" s="3" t="n">
        <v>0</v>
      </c>
      <c r="R7" s="3">
        <f>L7*M7/1024</f>
        <v/>
      </c>
      <c r="S7" s="3">
        <f>C7*D7*G7/128</f>
        <v/>
      </c>
      <c r="T7" s="3">
        <f>(S7/$Y$2)/1000</f>
        <v/>
      </c>
      <c r="U7" s="26">
        <f>((O7*8*1024)/$T7)/1000</f>
        <v/>
      </c>
      <c r="V7" s="26">
        <f>((P7*8*1024)/$T7)/1000</f>
        <v/>
      </c>
      <c r="W7" s="26">
        <f>((Q7*8*1024)/$T7)/1000</f>
        <v/>
      </c>
      <c r="X7" s="26">
        <f>((R7*8*1024)/$T7)/1000</f>
        <v/>
      </c>
    </row>
    <row r="8">
      <c r="A8" s="7" t="inlineStr">
        <is>
          <t>KptEnc 64-&gt;128</t>
        </is>
      </c>
      <c r="B8" s="7" t="inlineStr">
        <is>
          <t>accumulate</t>
        </is>
      </c>
      <c r="C8" s="11" t="n">
        <v>128</v>
      </c>
      <c r="D8" s="11" t="n">
        <v>512</v>
      </c>
      <c r="E8" s="11" t="n">
        <v>0</v>
      </c>
      <c r="F8" s="2" t="n">
        <v>0</v>
      </c>
      <c r="G8" s="2" t="n">
        <v>64</v>
      </c>
      <c r="H8" s="2" t="n">
        <v>0</v>
      </c>
      <c r="I8" s="3" t="n">
        <v>0</v>
      </c>
      <c r="J8" s="3" t="n">
        <v>0</v>
      </c>
      <c r="K8" s="3" t="n">
        <v>0</v>
      </c>
      <c r="L8" s="13" t="n">
        <v>128</v>
      </c>
      <c r="M8" s="13" t="n">
        <v>512</v>
      </c>
      <c r="N8" s="13" t="n">
        <v>0</v>
      </c>
      <c r="O8" s="3">
        <f>C8*D8/1024</f>
        <v/>
      </c>
      <c r="P8" s="3" t="n">
        <v>0</v>
      </c>
      <c r="Q8" s="3" t="n">
        <v>0</v>
      </c>
      <c r="R8" s="3">
        <f>L8*M8/1024</f>
        <v/>
      </c>
      <c r="S8" s="3">
        <f>C8*D8*G8/128</f>
        <v/>
      </c>
      <c r="T8" s="3">
        <f>(S8/$Y$2)/1000</f>
        <v/>
      </c>
      <c r="U8" s="26">
        <f>((O8*8*1024)/$T8)/1000</f>
        <v/>
      </c>
      <c r="V8" s="26">
        <f>((P8*8*1024)/$T8)/1000</f>
        <v/>
      </c>
      <c r="W8" s="26">
        <f>((Q8*8*1024)/$T8)/1000</f>
        <v/>
      </c>
      <c r="X8" s="26">
        <f>((R8*8*1024)/$T8)/1000</f>
        <v/>
      </c>
    </row>
    <row r="9">
      <c r="A9" s="7" t="inlineStr">
        <is>
          <t>KptEnc 128-&gt;256</t>
        </is>
      </c>
      <c r="B9" s="7" t="inlineStr">
        <is>
          <t>multiply</t>
        </is>
      </c>
      <c r="C9" s="11" t="n">
        <v>256</v>
      </c>
      <c r="D9" s="11" t="n">
        <v>512</v>
      </c>
      <c r="E9" s="11" t="n">
        <v>0</v>
      </c>
      <c r="F9" s="2" t="n">
        <v>0</v>
      </c>
      <c r="G9" s="2" t="n">
        <v>128</v>
      </c>
      <c r="H9" s="2" t="n">
        <v>0</v>
      </c>
      <c r="I9" s="3" t="n">
        <v>0</v>
      </c>
      <c r="J9" s="3" t="n">
        <v>0</v>
      </c>
      <c r="K9" s="3" t="n">
        <v>0</v>
      </c>
      <c r="L9" s="13" t="n">
        <v>256</v>
      </c>
      <c r="M9" s="13" t="n">
        <v>512</v>
      </c>
      <c r="N9" s="13" t="n">
        <v>0</v>
      </c>
      <c r="O9" s="3">
        <f>C9*D9/1024</f>
        <v/>
      </c>
      <c r="P9" s="3" t="n">
        <v>0</v>
      </c>
      <c r="Q9" s="3" t="n">
        <v>0</v>
      </c>
      <c r="R9" s="3">
        <f>L9*M9/1024</f>
        <v/>
      </c>
      <c r="S9" s="3">
        <f>C9*D9*G9/128</f>
        <v/>
      </c>
      <c r="T9" s="3">
        <f>(S9/$Y$2)/1000</f>
        <v/>
      </c>
      <c r="U9" s="26">
        <f>((O9*8*1024)/$T9)/1000</f>
        <v/>
      </c>
      <c r="V9" s="26">
        <f>((P9*8*1024)/$T9)/1000</f>
        <v/>
      </c>
      <c r="W9" s="26">
        <f>((Q9*8*1024)/$T9)/1000</f>
        <v/>
      </c>
      <c r="X9" s="26">
        <f>((R9*8*1024)/$T9)/1000</f>
        <v/>
      </c>
    </row>
    <row r="10">
      <c r="A10" s="7" t="inlineStr">
        <is>
          <t>KptEnc 128-&gt;256</t>
        </is>
      </c>
      <c r="B10" s="7" t="inlineStr">
        <is>
          <t>accumulate</t>
        </is>
      </c>
      <c r="C10" s="11" t="n">
        <v>256</v>
      </c>
      <c r="D10" s="11" t="n">
        <v>512</v>
      </c>
      <c r="E10" s="11" t="n">
        <v>0</v>
      </c>
      <c r="F10" s="2" t="n">
        <v>0</v>
      </c>
      <c r="G10" s="2" t="n">
        <v>128</v>
      </c>
      <c r="H10" s="2" t="n">
        <v>0</v>
      </c>
      <c r="I10" s="3" t="n">
        <v>0</v>
      </c>
      <c r="J10" s="3" t="n">
        <v>0</v>
      </c>
      <c r="K10" s="3" t="n">
        <v>0</v>
      </c>
      <c r="L10" s="13" t="n">
        <v>256</v>
      </c>
      <c r="M10" s="13" t="n">
        <v>512</v>
      </c>
      <c r="N10" s="13" t="n">
        <v>0</v>
      </c>
      <c r="O10" s="3">
        <f>C10*D10/1024</f>
        <v/>
      </c>
      <c r="P10" s="3" t="n">
        <v>0</v>
      </c>
      <c r="Q10" s="3" t="n">
        <v>0</v>
      </c>
      <c r="R10" s="3">
        <f>L10*M10/1024</f>
        <v/>
      </c>
      <c r="S10" s="3">
        <f>C10*D10*G10/128</f>
        <v/>
      </c>
      <c r="T10" s="3">
        <f>(S10/$Y$2)/1000</f>
        <v/>
      </c>
      <c r="U10" s="26">
        <f>((O10*8*1024)/$T10)/1000</f>
        <v/>
      </c>
      <c r="V10" s="26">
        <f>((P10*8*1024)/$T10)/1000</f>
        <v/>
      </c>
      <c r="W10" s="26">
        <f>((Q10*8*1024)/$T10)/1000</f>
        <v/>
      </c>
      <c r="X10" s="26">
        <f>((R10*8*1024)/$T10)/1000</f>
        <v/>
      </c>
    </row>
    <row r="11">
      <c r="A11" s="7" t="inlineStr">
        <is>
          <t>Residual desc+=enc</t>
        </is>
      </c>
      <c r="B11" s="7" t="inlineStr">
        <is>
          <t>add</t>
        </is>
      </c>
      <c r="C11" s="11" t="n">
        <v>256</v>
      </c>
      <c r="D11" s="11" t="n">
        <v>512</v>
      </c>
      <c r="E11" s="11" t="n">
        <v>0</v>
      </c>
      <c r="F11" s="2" t="n">
        <v>0</v>
      </c>
      <c r="G11" s="2" t="n">
        <v>0</v>
      </c>
      <c r="H11" s="2" t="n">
        <v>0</v>
      </c>
      <c r="I11" s="3" t="n">
        <v>0</v>
      </c>
      <c r="J11" s="3" t="n">
        <v>0</v>
      </c>
      <c r="K11" s="3" t="n">
        <v>0</v>
      </c>
      <c r="L11" s="13" t="n">
        <v>256</v>
      </c>
      <c r="M11" s="13" t="n">
        <v>512</v>
      </c>
      <c r="N11" s="13" t="n">
        <v>0</v>
      </c>
      <c r="O11" s="3">
        <f>C11*D11/1024</f>
        <v/>
      </c>
      <c r="P11" s="3" t="n">
        <v>0</v>
      </c>
      <c r="Q11" s="3" t="n">
        <v>0</v>
      </c>
      <c r="R11" s="3">
        <f>L11*M11/1024</f>
        <v/>
      </c>
      <c r="S11" s="3">
        <f>C11*D11/128</f>
        <v/>
      </c>
      <c r="T11" s="3">
        <f>(S11/$Y$2)/1000</f>
        <v/>
      </c>
      <c r="U11" s="26">
        <f>((O11*8*1024)/$T11)/1000</f>
        <v/>
      </c>
      <c r="V11" s="26">
        <f>((P11*8*1024)/$T11)/1000</f>
        <v/>
      </c>
      <c r="W11" s="26">
        <f>((Q11*8*1024)/$T11)/1000</f>
        <v/>
      </c>
      <c r="X11" s="26">
        <f>((R11*8*1024)/$T11)/1000</f>
        <v/>
      </c>
      <c r="Y11" s="17" t="inlineStr">
        <is>
          <t>Encoder total [us] -&gt;</t>
        </is>
      </c>
      <c r="Z11" s="17">
        <f>2*(SUM(T3:T11))</f>
        <v/>
      </c>
    </row>
    <row r="12">
      <c r="A12" s="7" t="inlineStr">
        <is>
          <t>Q proj D-&gt;D</t>
        </is>
      </c>
      <c r="B12" s="7" t="inlineStr">
        <is>
          <t>multiply</t>
        </is>
      </c>
      <c r="C12" s="11" t="n">
        <v>256</v>
      </c>
      <c r="D12" s="11" t="n">
        <v>512</v>
      </c>
      <c r="E12" s="11" t="n">
        <v>0</v>
      </c>
      <c r="F12" s="2" t="n">
        <v>0</v>
      </c>
      <c r="G12" s="2" t="n">
        <v>256</v>
      </c>
      <c r="H12" s="2" t="n">
        <v>0</v>
      </c>
      <c r="I12" s="3" t="n">
        <v>0</v>
      </c>
      <c r="J12" s="3" t="n">
        <v>0</v>
      </c>
      <c r="K12" s="3" t="n">
        <v>0</v>
      </c>
      <c r="L12" s="13" t="n">
        <v>256</v>
      </c>
      <c r="M12" s="13" t="n">
        <v>512</v>
      </c>
      <c r="N12" s="13" t="n">
        <v>0</v>
      </c>
      <c r="O12" s="3">
        <f>C12*D12/1024</f>
        <v/>
      </c>
      <c r="P12" s="3" t="n">
        <v>0</v>
      </c>
      <c r="Q12" s="3" t="n">
        <v>0</v>
      </c>
      <c r="R12" s="3">
        <f>L12*M12/1024</f>
        <v/>
      </c>
      <c r="S12" s="3">
        <f>C12*D12*G12/128</f>
        <v/>
      </c>
      <c r="T12" s="3">
        <f>(S12/$Y$2)/1000</f>
        <v/>
      </c>
      <c r="U12" s="26">
        <f>((O12*8*1024)/$T12)/1000</f>
        <v/>
      </c>
      <c r="V12" s="26">
        <f>((P12*8*1024)/$T12)/1000</f>
        <v/>
      </c>
      <c r="W12" s="26">
        <f>((Q12*8*1024)/$T12)/1000</f>
        <v/>
      </c>
      <c r="X12" s="26">
        <f>((R12*8*1024)/$T12)/1000</f>
        <v/>
      </c>
    </row>
    <row r="13">
      <c r="A13" s="7" t="inlineStr">
        <is>
          <t>Q proj D-&gt;D</t>
        </is>
      </c>
      <c r="B13" s="7" t="inlineStr">
        <is>
          <t>accumulate</t>
        </is>
      </c>
      <c r="C13" s="11" t="n">
        <v>256</v>
      </c>
      <c r="D13" s="11" t="n">
        <v>512</v>
      </c>
      <c r="E13" s="11" t="n">
        <v>0</v>
      </c>
      <c r="F13" s="2" t="n">
        <v>0</v>
      </c>
      <c r="G13" s="2" t="n">
        <v>256</v>
      </c>
      <c r="H13" s="2" t="n">
        <v>0</v>
      </c>
      <c r="I13" s="3" t="n">
        <v>0</v>
      </c>
      <c r="J13" s="3" t="n">
        <v>0</v>
      </c>
      <c r="K13" s="3" t="n">
        <v>0</v>
      </c>
      <c r="L13" s="13" t="n">
        <v>256</v>
      </c>
      <c r="M13" s="13" t="n">
        <v>512</v>
      </c>
      <c r="N13" s="13" t="n">
        <v>0</v>
      </c>
      <c r="O13" s="3">
        <f>C13*D13/1024</f>
        <v/>
      </c>
      <c r="P13" s="3" t="n">
        <v>0</v>
      </c>
      <c r="Q13" s="3" t="n">
        <v>0</v>
      </c>
      <c r="R13" s="3">
        <f>L13*M13/1024</f>
        <v/>
      </c>
      <c r="S13" s="3">
        <f>C13*D13*G13/128</f>
        <v/>
      </c>
      <c r="T13" s="3">
        <f>(S13/$Y$2)/1000</f>
        <v/>
      </c>
      <c r="U13" s="26">
        <f>((O13*8*1024)/$T13)/1000</f>
        <v/>
      </c>
      <c r="V13" s="26">
        <f>((P13*8*1024)/$T13)/1000</f>
        <v/>
      </c>
      <c r="W13" s="26">
        <f>((Q13*8*1024)/$T13)/1000</f>
        <v/>
      </c>
      <c r="X13" s="26">
        <f>((R13*8*1024)/$T13)/1000</f>
        <v/>
      </c>
    </row>
    <row r="14">
      <c r="A14" s="7" t="inlineStr">
        <is>
          <t>K proj D-&gt;D</t>
        </is>
      </c>
      <c r="B14" s="7" t="inlineStr">
        <is>
          <t>multiply</t>
        </is>
      </c>
      <c r="C14" s="11" t="n">
        <v>256</v>
      </c>
      <c r="D14" s="11" t="n">
        <v>512</v>
      </c>
      <c r="E14" s="11" t="n">
        <v>0</v>
      </c>
      <c r="F14" s="2" t="n">
        <v>0</v>
      </c>
      <c r="G14" s="2" t="n">
        <v>256</v>
      </c>
      <c r="H14" s="2" t="n">
        <v>0</v>
      </c>
      <c r="I14" s="3" t="n">
        <v>0</v>
      </c>
      <c r="J14" s="3" t="n">
        <v>0</v>
      </c>
      <c r="K14" s="3" t="n">
        <v>0</v>
      </c>
      <c r="L14" s="13" t="n">
        <v>256</v>
      </c>
      <c r="M14" s="13" t="n">
        <v>512</v>
      </c>
      <c r="N14" s="13" t="n">
        <v>0</v>
      </c>
      <c r="O14" s="3">
        <f>C14*D14/1024</f>
        <v/>
      </c>
      <c r="P14" s="3" t="n">
        <v>0</v>
      </c>
      <c r="Q14" s="3" t="n">
        <v>0</v>
      </c>
      <c r="R14" s="3">
        <f>L14*M14/1024</f>
        <v/>
      </c>
      <c r="S14" s="3">
        <f>C14*D14*G14/128</f>
        <v/>
      </c>
      <c r="T14" s="3">
        <f>(S14/$Y$2)/1000</f>
        <v/>
      </c>
      <c r="U14" s="26">
        <f>((O14*8*1024)/$T14)/1000</f>
        <v/>
      </c>
      <c r="V14" s="26">
        <f>((P14*8*1024)/$T14)/1000</f>
        <v/>
      </c>
      <c r="W14" s="26">
        <f>((Q14*8*1024)/$T14)/1000</f>
        <v/>
      </c>
      <c r="X14" s="26">
        <f>((R14*8*1024)/$T14)/1000</f>
        <v/>
      </c>
    </row>
    <row r="15">
      <c r="A15" s="7" t="inlineStr">
        <is>
          <t>K proj D-&gt;D</t>
        </is>
      </c>
      <c r="B15" s="7" t="inlineStr">
        <is>
          <t>accumulate</t>
        </is>
      </c>
      <c r="C15" s="11" t="n">
        <v>256</v>
      </c>
      <c r="D15" s="11" t="n">
        <v>512</v>
      </c>
      <c r="E15" s="11" t="n">
        <v>0</v>
      </c>
      <c r="F15" s="2" t="n">
        <v>0</v>
      </c>
      <c r="G15" s="2" t="n">
        <v>256</v>
      </c>
      <c r="H15" s="2" t="n">
        <v>0</v>
      </c>
      <c r="I15" s="3" t="n">
        <v>0</v>
      </c>
      <c r="J15" s="3" t="n">
        <v>0</v>
      </c>
      <c r="K15" s="3" t="n">
        <v>0</v>
      </c>
      <c r="L15" s="13" t="n">
        <v>256</v>
      </c>
      <c r="M15" s="13" t="n">
        <v>512</v>
      </c>
      <c r="N15" s="13" t="n">
        <v>0</v>
      </c>
      <c r="O15" s="3">
        <f>C15*D15/1024</f>
        <v/>
      </c>
      <c r="P15" s="3" t="n">
        <v>0</v>
      </c>
      <c r="Q15" s="3" t="n">
        <v>0</v>
      </c>
      <c r="R15" s="3">
        <f>L15*M15/1024</f>
        <v/>
      </c>
      <c r="S15" s="3">
        <f>C15*D15*G15/128</f>
        <v/>
      </c>
      <c r="T15" s="3">
        <f>(S15/$Y$2)/1000</f>
        <v/>
      </c>
      <c r="U15" s="26">
        <f>((O15*8*1024)/$T15)/1000</f>
        <v/>
      </c>
      <c r="V15" s="26">
        <f>((P15*8*1024)/$T15)/1000</f>
        <v/>
      </c>
      <c r="W15" s="26">
        <f>((Q15*8*1024)/$T15)/1000</f>
        <v/>
      </c>
      <c r="X15" s="26">
        <f>((R15*8*1024)/$T15)/1000</f>
        <v/>
      </c>
    </row>
    <row r="16">
      <c r="A16" s="7" t="inlineStr">
        <is>
          <t>V proj D-&gt;D</t>
        </is>
      </c>
      <c r="B16" s="7" t="inlineStr">
        <is>
          <t>multiply</t>
        </is>
      </c>
      <c r="C16" s="11" t="n">
        <v>256</v>
      </c>
      <c r="D16" s="11" t="n">
        <v>512</v>
      </c>
      <c r="E16" s="11" t="n">
        <v>0</v>
      </c>
      <c r="F16" s="2" t="n">
        <v>0</v>
      </c>
      <c r="G16" s="2" t="n">
        <v>256</v>
      </c>
      <c r="H16" s="2" t="n">
        <v>0</v>
      </c>
      <c r="I16" s="3" t="n">
        <v>0</v>
      </c>
      <c r="J16" s="3" t="n">
        <v>0</v>
      </c>
      <c r="K16" s="3" t="n">
        <v>0</v>
      </c>
      <c r="L16" s="13" t="n">
        <v>256</v>
      </c>
      <c r="M16" s="13" t="n">
        <v>512</v>
      </c>
      <c r="N16" s="13" t="n">
        <v>0</v>
      </c>
      <c r="O16" s="3">
        <f>C16*D16/1024</f>
        <v/>
      </c>
      <c r="P16" s="3" t="n">
        <v>0</v>
      </c>
      <c r="Q16" s="3" t="n">
        <v>0</v>
      </c>
      <c r="R16" s="3">
        <f>L16*M16/1024</f>
        <v/>
      </c>
      <c r="S16" s="3">
        <f>C16*D16*G16/128</f>
        <v/>
      </c>
      <c r="T16" s="3">
        <f>(S16/$Y$2)/1000</f>
        <v/>
      </c>
      <c r="U16" s="26">
        <f>((O16*8*1024)/$T16)/1000</f>
        <v/>
      </c>
      <c r="V16" s="26">
        <f>((P16*8*1024)/$T16)/1000</f>
        <v/>
      </c>
      <c r="W16" s="26">
        <f>((Q16*8*1024)/$T16)/1000</f>
        <v/>
      </c>
      <c r="X16" s="26">
        <f>((R16*8*1024)/$T16)/1000</f>
        <v/>
      </c>
    </row>
    <row r="17">
      <c r="A17" s="7" t="inlineStr">
        <is>
          <t>V proj D-&gt;D</t>
        </is>
      </c>
      <c r="B17" s="7" t="inlineStr">
        <is>
          <t>accumulate</t>
        </is>
      </c>
      <c r="C17" s="11" t="n">
        <v>256</v>
      </c>
      <c r="D17" s="11" t="n">
        <v>512</v>
      </c>
      <c r="E17" s="11" t="n">
        <v>0</v>
      </c>
      <c r="F17" s="2" t="n">
        <v>0</v>
      </c>
      <c r="G17" s="2" t="n">
        <v>256</v>
      </c>
      <c r="H17" s="2" t="n">
        <v>0</v>
      </c>
      <c r="I17" s="3" t="n">
        <v>0</v>
      </c>
      <c r="J17" s="3" t="n">
        <v>0</v>
      </c>
      <c r="K17" s="3" t="n">
        <v>0</v>
      </c>
      <c r="L17" s="13" t="n">
        <v>256</v>
      </c>
      <c r="M17" s="13" t="n">
        <v>512</v>
      </c>
      <c r="N17" s="13" t="n">
        <v>0</v>
      </c>
      <c r="O17" s="3">
        <f>C17*D17/1024</f>
        <v/>
      </c>
      <c r="P17" s="3" t="n">
        <v>0</v>
      </c>
      <c r="Q17" s="3" t="n">
        <v>0</v>
      </c>
      <c r="R17" s="3">
        <f>L17*M17/1024</f>
        <v/>
      </c>
      <c r="S17" s="3">
        <f>C17*D17*G17/128</f>
        <v/>
      </c>
      <c r="T17" s="3">
        <f>(S17/$Y$2)/1000</f>
        <v/>
      </c>
      <c r="U17" s="26">
        <f>((O17*8*1024)/$T17)/1000</f>
        <v/>
      </c>
      <c r="V17" s="26">
        <f>((P17*8*1024)/$T17)/1000</f>
        <v/>
      </c>
      <c r="W17" s="26">
        <f>((Q17*8*1024)/$T17)/1000</f>
        <v/>
      </c>
      <c r="X17" s="26">
        <f>((R17*8*1024)/$T17)/1000</f>
        <v/>
      </c>
    </row>
    <row r="18">
      <c r="A18" s="7" t="inlineStr">
        <is>
          <t>head reshape Q</t>
        </is>
      </c>
      <c r="B18" s="7" t="inlineStr">
        <is>
          <t>reshape</t>
        </is>
      </c>
      <c r="C18" s="11" t="n">
        <v>64</v>
      </c>
      <c r="D18" s="11" t="n">
        <v>512</v>
      </c>
      <c r="E18" s="11" t="n">
        <v>0</v>
      </c>
      <c r="F18" s="2" t="n">
        <v>0</v>
      </c>
      <c r="G18" s="2" t="n">
        <v>0</v>
      </c>
      <c r="H18" s="2" t="n">
        <v>0</v>
      </c>
      <c r="I18" s="3" t="n">
        <v>0</v>
      </c>
      <c r="J18" s="3" t="n">
        <v>0</v>
      </c>
      <c r="K18" s="3" t="n">
        <v>0</v>
      </c>
      <c r="L18" s="13" t="n">
        <v>64</v>
      </c>
      <c r="M18" s="13" t="n">
        <v>512</v>
      </c>
      <c r="N18" s="13" t="n">
        <v>0</v>
      </c>
      <c r="O18" s="3">
        <f>C18*D18/1024</f>
        <v/>
      </c>
      <c r="P18" s="3" t="n">
        <v>0</v>
      </c>
      <c r="Q18" s="3" t="n">
        <v>0</v>
      </c>
      <c r="R18" s="3">
        <f>L18*M18/1024</f>
        <v/>
      </c>
      <c r="S18" s="3" t="inlineStr">
        <is>
          <t>0</t>
        </is>
      </c>
      <c r="T18" s="3" t="n">
        <v>0</v>
      </c>
      <c r="U18" s="26" t="n">
        <v>0</v>
      </c>
      <c r="V18" s="26" t="n">
        <v>0</v>
      </c>
      <c r="W18" s="26" t="n">
        <v>0</v>
      </c>
      <c r="X18" s="26" t="n">
        <v>0</v>
      </c>
    </row>
    <row r="19">
      <c r="A19" s="7" t="inlineStr">
        <is>
          <t>head reshape K</t>
        </is>
      </c>
      <c r="B19" s="7" t="inlineStr">
        <is>
          <t>reshape</t>
        </is>
      </c>
      <c r="C19" s="11" t="n">
        <v>64</v>
      </c>
      <c r="D19" s="11" t="n">
        <v>512</v>
      </c>
      <c r="E19" s="11" t="n">
        <v>0</v>
      </c>
      <c r="F19" s="2" t="n">
        <v>0</v>
      </c>
      <c r="G19" s="2" t="n">
        <v>0</v>
      </c>
      <c r="H19" s="2" t="n">
        <v>0</v>
      </c>
      <c r="I19" s="3" t="n">
        <v>0</v>
      </c>
      <c r="J19" s="3" t="n">
        <v>0</v>
      </c>
      <c r="K19" s="3" t="n">
        <v>0</v>
      </c>
      <c r="L19" s="13" t="n">
        <v>64</v>
      </c>
      <c r="M19" s="13" t="n">
        <v>512</v>
      </c>
      <c r="N19" s="13" t="n">
        <v>0</v>
      </c>
      <c r="O19" s="3">
        <f>C19*D19/1024</f>
        <v/>
      </c>
      <c r="P19" s="3" t="n">
        <v>0</v>
      </c>
      <c r="Q19" s="3" t="n">
        <v>0</v>
      </c>
      <c r="R19" s="3">
        <f>L19*M19/1024</f>
        <v/>
      </c>
      <c r="S19" s="3" t="inlineStr">
        <is>
          <t>0</t>
        </is>
      </c>
      <c r="T19" s="3" t="n">
        <v>0</v>
      </c>
      <c r="U19" s="26" t="n">
        <v>0</v>
      </c>
      <c r="V19" s="26" t="n">
        <v>0</v>
      </c>
      <c r="W19" s="26" t="n">
        <v>0</v>
      </c>
      <c r="X19" s="26" t="n">
        <v>0</v>
      </c>
    </row>
    <row r="20">
      <c r="A20" s="7" t="inlineStr">
        <is>
          <t>head reshape V</t>
        </is>
      </c>
      <c r="B20" s="7" t="inlineStr">
        <is>
          <t>reshape</t>
        </is>
      </c>
      <c r="C20" s="11" t="n">
        <v>64</v>
      </c>
      <c r="D20" s="11" t="n">
        <v>512</v>
      </c>
      <c r="E20" s="11" t="n">
        <v>0</v>
      </c>
      <c r="F20" s="2" t="n">
        <v>0</v>
      </c>
      <c r="G20" s="2" t="n">
        <v>0</v>
      </c>
      <c r="H20" s="2" t="n">
        <v>0</v>
      </c>
      <c r="I20" s="3" t="n">
        <v>0</v>
      </c>
      <c r="J20" s="3" t="n">
        <v>0</v>
      </c>
      <c r="K20" s="3" t="n">
        <v>0</v>
      </c>
      <c r="L20" s="13" t="n">
        <v>64</v>
      </c>
      <c r="M20" s="13" t="n">
        <v>512</v>
      </c>
      <c r="N20" s="13" t="n">
        <v>0</v>
      </c>
      <c r="O20" s="3">
        <f>C20*D20/1024</f>
        <v/>
      </c>
      <c r="P20" s="3" t="n">
        <v>0</v>
      </c>
      <c r="Q20" s="3" t="n">
        <v>0</v>
      </c>
      <c r="R20" s="3">
        <f>L20*M20/1024</f>
        <v/>
      </c>
      <c r="S20" s="3" t="inlineStr">
        <is>
          <t>0</t>
        </is>
      </c>
      <c r="T20" s="3" t="n">
        <v>0</v>
      </c>
      <c r="U20" s="26" t="n">
        <v>0</v>
      </c>
      <c r="V20" s="26" t="n">
        <v>0</v>
      </c>
      <c r="W20" s="26" t="n">
        <v>0</v>
      </c>
      <c r="X20" s="26" t="n">
        <v>0</v>
      </c>
    </row>
    <row r="21">
      <c r="A21" s="7" t="inlineStr">
        <is>
          <t>QKt (1 head)</t>
        </is>
      </c>
      <c r="B21" s="7" t="inlineStr">
        <is>
          <t>multiply</t>
        </is>
      </c>
      <c r="C21" s="11" t="n">
        <v>512</v>
      </c>
      <c r="D21" s="11" t="n">
        <v>512</v>
      </c>
      <c r="E21" s="11" t="n">
        <v>0</v>
      </c>
      <c r="F21" s="2" t="n">
        <v>0</v>
      </c>
      <c r="G21" s="2" t="n">
        <v>64</v>
      </c>
      <c r="H21" s="2" t="n">
        <v>0</v>
      </c>
      <c r="I21" s="3" t="n">
        <v>0</v>
      </c>
      <c r="J21" s="3" t="n">
        <v>0</v>
      </c>
      <c r="K21" s="3" t="n">
        <v>0</v>
      </c>
      <c r="L21" s="13" t="n">
        <v>512</v>
      </c>
      <c r="M21" s="13" t="n">
        <v>512</v>
      </c>
      <c r="N21" s="13" t="n">
        <v>0</v>
      </c>
      <c r="O21" s="3">
        <f>C21*D21/1024</f>
        <v/>
      </c>
      <c r="P21" s="3" t="n">
        <v>0</v>
      </c>
      <c r="Q21" s="3" t="n">
        <v>0</v>
      </c>
      <c r="R21" s="3">
        <f>L21*M21/1024</f>
        <v/>
      </c>
      <c r="S21" s="3">
        <f>C21*D21*G21/128</f>
        <v/>
      </c>
      <c r="T21" s="3">
        <f>(S21/$Y$2)/1000</f>
        <v/>
      </c>
      <c r="U21" s="26">
        <f>((O21*8*1024)/$T21)/1000</f>
        <v/>
      </c>
      <c r="V21" s="26">
        <f>((P21*8*1024)/$T21)/1000</f>
        <v/>
      </c>
      <c r="W21" s="26">
        <f>((Q21*8*1024)/$T21)/1000</f>
        <v/>
      </c>
      <c r="X21" s="26">
        <f>((R21*8*1024)/$T21)/1000</f>
        <v/>
      </c>
    </row>
    <row r="22">
      <c r="A22" s="7" t="inlineStr">
        <is>
          <t>QKt (1 head)</t>
        </is>
      </c>
      <c r="B22" s="7" t="inlineStr">
        <is>
          <t>accumulate</t>
        </is>
      </c>
      <c r="C22" s="11" t="n">
        <v>512</v>
      </c>
      <c r="D22" s="11" t="n">
        <v>512</v>
      </c>
      <c r="E22" s="11" t="n">
        <v>0</v>
      </c>
      <c r="F22" s="2" t="n">
        <v>0</v>
      </c>
      <c r="G22" s="2" t="n">
        <v>64</v>
      </c>
      <c r="H22" s="2" t="n">
        <v>0</v>
      </c>
      <c r="I22" s="3" t="n">
        <v>0</v>
      </c>
      <c r="J22" s="3" t="n">
        <v>0</v>
      </c>
      <c r="K22" s="3" t="n">
        <v>0</v>
      </c>
      <c r="L22" s="13" t="n">
        <v>512</v>
      </c>
      <c r="M22" s="13" t="n">
        <v>512</v>
      </c>
      <c r="N22" s="13" t="n">
        <v>0</v>
      </c>
      <c r="O22" s="3">
        <f>C22*D22/1024</f>
        <v/>
      </c>
      <c r="P22" s="3" t="n">
        <v>0</v>
      </c>
      <c r="Q22" s="3" t="n">
        <v>0</v>
      </c>
      <c r="R22" s="3">
        <f>L22*M22/1024</f>
        <v/>
      </c>
      <c r="S22" s="3">
        <f>C22*D22*G22/128</f>
        <v/>
      </c>
      <c r="T22" s="3">
        <f>(S22/$Y$2)/1000</f>
        <v/>
      </c>
      <c r="U22" s="26">
        <f>((O22*8*1024)/$T22)/1000</f>
        <v/>
      </c>
      <c r="V22" s="26">
        <f>((P22*8*1024)/$T22)/1000</f>
        <v/>
      </c>
      <c r="W22" s="26">
        <f>((Q22*8*1024)/$T22)/1000</f>
        <v/>
      </c>
      <c r="X22" s="26">
        <f>((R22*8*1024)/$T22)/1000</f>
        <v/>
      </c>
    </row>
    <row r="23">
      <c r="A23" s="7" t="inlineStr">
        <is>
          <t>scale 1/sqrt(d)</t>
        </is>
      </c>
      <c r="B23" s="7" t="inlineStr">
        <is>
          <t>multiply</t>
        </is>
      </c>
      <c r="C23" s="11" t="n">
        <v>512</v>
      </c>
      <c r="D23" s="11" t="n">
        <v>512</v>
      </c>
      <c r="E23" s="11" t="n">
        <v>0</v>
      </c>
      <c r="F23" s="2" t="n">
        <v>0</v>
      </c>
      <c r="G23" s="2" t="n">
        <v>0</v>
      </c>
      <c r="H23" s="2" t="n">
        <v>0</v>
      </c>
      <c r="I23" s="3" t="n">
        <v>0</v>
      </c>
      <c r="J23" s="3" t="n">
        <v>0</v>
      </c>
      <c r="K23" s="3" t="n">
        <v>0</v>
      </c>
      <c r="L23" s="13" t="n">
        <v>512</v>
      </c>
      <c r="M23" s="13" t="n">
        <v>512</v>
      </c>
      <c r="N23" s="13" t="n">
        <v>0</v>
      </c>
      <c r="O23" s="3">
        <f>C23*D23/1024</f>
        <v/>
      </c>
      <c r="P23" s="3" t="n">
        <v>0</v>
      </c>
      <c r="Q23" s="3" t="n">
        <v>0</v>
      </c>
      <c r="R23" s="3">
        <f>L23*M23/1024</f>
        <v/>
      </c>
      <c r="S23" s="3">
        <f>C23*D23/128</f>
        <v/>
      </c>
      <c r="T23" s="3">
        <f>(S23/$Y$2)/1000</f>
        <v/>
      </c>
      <c r="U23" s="26">
        <f>((O23*8*1024)/$T23)/1000</f>
        <v/>
      </c>
      <c r="V23" s="26">
        <f>((P23*8*1024)/$T23)/1000</f>
        <v/>
      </c>
      <c r="W23" s="26">
        <f>((Q23*8*1024)/$T23)/1000</f>
        <v/>
      </c>
      <c r="X23" s="26">
        <f>((R23*8*1024)/$T23)/1000</f>
        <v/>
      </c>
    </row>
    <row r="24">
      <c r="A24" s="7" t="inlineStr">
        <is>
          <t>softmax (1 head)</t>
        </is>
      </c>
      <c r="B24" s="7" t="inlineStr">
        <is>
          <t>max</t>
        </is>
      </c>
      <c r="C24" s="11" t="n">
        <v>512</v>
      </c>
      <c r="D24" s="11" t="n">
        <v>512</v>
      </c>
      <c r="E24" s="11" t="n">
        <v>0</v>
      </c>
      <c r="F24" s="2" t="n">
        <v>0</v>
      </c>
      <c r="G24" s="2" t="n">
        <v>0</v>
      </c>
      <c r="H24" s="2" t="n">
        <v>0</v>
      </c>
      <c r="I24" s="3" t="n">
        <v>0</v>
      </c>
      <c r="J24" s="3" t="n">
        <v>0</v>
      </c>
      <c r="K24" s="3" t="n">
        <v>0</v>
      </c>
      <c r="L24" s="13" t="n">
        <v>512</v>
      </c>
      <c r="M24" s="13" t="n">
        <v>512</v>
      </c>
      <c r="N24" s="13" t="n">
        <v>0</v>
      </c>
      <c r="O24" s="3">
        <f>C24*D24/1024</f>
        <v/>
      </c>
      <c r="P24" s="3" t="n">
        <v>0</v>
      </c>
      <c r="Q24" s="3" t="n">
        <v>0</v>
      </c>
      <c r="R24" s="3">
        <f>L24*M24/1024</f>
        <v/>
      </c>
      <c r="S24" s="3">
        <f>C24*D24/128</f>
        <v/>
      </c>
      <c r="T24" s="3">
        <f>(S24/$Y$2)/1000</f>
        <v/>
      </c>
      <c r="U24" s="26">
        <f>((O24*8*1024)/$T24)/1000</f>
        <v/>
      </c>
      <c r="V24" s="26">
        <f>((P24*8*1024)/$T24)/1000</f>
        <v/>
      </c>
      <c r="W24" s="26">
        <f>((Q24*8*1024)/$T24)/1000</f>
        <v/>
      </c>
      <c r="X24" s="26">
        <f>((R24*8*1024)/$T24)/1000</f>
        <v/>
      </c>
    </row>
    <row r="25">
      <c r="A25" s="7" t="inlineStr">
        <is>
          <t>softmax (1 head)</t>
        </is>
      </c>
      <c r="B25" s="7" t="inlineStr">
        <is>
          <t>subtract</t>
        </is>
      </c>
      <c r="C25" s="11" t="n">
        <v>512</v>
      </c>
      <c r="D25" s="11" t="n">
        <v>512</v>
      </c>
      <c r="E25" s="11" t="n">
        <v>0</v>
      </c>
      <c r="F25" s="2" t="n">
        <v>0</v>
      </c>
      <c r="G25" s="2" t="n">
        <v>0</v>
      </c>
      <c r="H25" s="2" t="n">
        <v>0</v>
      </c>
      <c r="I25" s="3" t="n">
        <v>0</v>
      </c>
      <c r="J25" s="3" t="n">
        <v>0</v>
      </c>
      <c r="K25" s="3" t="n">
        <v>0</v>
      </c>
      <c r="L25" s="13" t="n">
        <v>512</v>
      </c>
      <c r="M25" s="13" t="n">
        <v>512</v>
      </c>
      <c r="N25" s="13" t="n">
        <v>0</v>
      </c>
      <c r="O25" s="3">
        <f>C25*D25/1024</f>
        <v/>
      </c>
      <c r="P25" s="3" t="n">
        <v>0</v>
      </c>
      <c r="Q25" s="3" t="n">
        <v>0</v>
      </c>
      <c r="R25" s="3">
        <f>L25*M25/1024</f>
        <v/>
      </c>
      <c r="S25" s="3">
        <f>C25*D25/128</f>
        <v/>
      </c>
      <c r="T25" s="3">
        <f>(S25/$Y$2)/1000</f>
        <v/>
      </c>
      <c r="U25" s="26">
        <f>((O25*8*1024)/$T25)/1000</f>
        <v/>
      </c>
      <c r="V25" s="26">
        <f>((P25*8*1024)/$T25)/1000</f>
        <v/>
      </c>
      <c r="W25" s="26">
        <f>((Q25*8*1024)/$T25)/1000</f>
        <v/>
      </c>
      <c r="X25" s="26">
        <f>((R25*8*1024)/$T25)/1000</f>
        <v/>
      </c>
    </row>
    <row r="26">
      <c r="A26" s="7" t="inlineStr">
        <is>
          <t>softmax (1 head)</t>
        </is>
      </c>
      <c r="B26" s="7" t="inlineStr">
        <is>
          <t>exp2</t>
        </is>
      </c>
      <c r="C26" s="11" t="n">
        <v>512</v>
      </c>
      <c r="D26" s="11" t="n">
        <v>512</v>
      </c>
      <c r="E26" s="11" t="n">
        <v>0</v>
      </c>
      <c r="F26" s="2" t="n">
        <v>0</v>
      </c>
      <c r="G26" s="2" t="n">
        <v>0</v>
      </c>
      <c r="H26" s="2" t="n">
        <v>0</v>
      </c>
      <c r="I26" s="3" t="n">
        <v>0</v>
      </c>
      <c r="J26" s="3" t="n">
        <v>0</v>
      </c>
      <c r="K26" s="3" t="n">
        <v>0</v>
      </c>
      <c r="L26" s="13" t="n">
        <v>512</v>
      </c>
      <c r="M26" s="13" t="n">
        <v>512</v>
      </c>
      <c r="N26" s="13" t="n">
        <v>0</v>
      </c>
      <c r="O26" s="3">
        <f>C26*D26/1024</f>
        <v/>
      </c>
      <c r="P26" s="3" t="n">
        <v>0</v>
      </c>
      <c r="Q26" s="3" t="n">
        <v>0</v>
      </c>
      <c r="R26" s="3">
        <f>L26*M26/1024</f>
        <v/>
      </c>
      <c r="S26" s="3">
        <f>C26*D26/128</f>
        <v/>
      </c>
      <c r="T26" s="3">
        <f>(S26/$Y$2)/1000</f>
        <v/>
      </c>
      <c r="U26" s="26">
        <f>((O26*8*1024)/$T26)/1000</f>
        <v/>
      </c>
      <c r="V26" s="26">
        <f>((P26*8*1024)/$T26)/1000</f>
        <v/>
      </c>
      <c r="W26" s="26">
        <f>((Q26*8*1024)/$T26)/1000</f>
        <v/>
      </c>
      <c r="X26" s="26">
        <f>((R26*8*1024)/$T26)/1000</f>
        <v/>
      </c>
    </row>
    <row r="27">
      <c r="A27" s="7" t="inlineStr">
        <is>
          <t>softmax (1 head)</t>
        </is>
      </c>
      <c r="B27" s="7" t="inlineStr">
        <is>
          <t>sum</t>
        </is>
      </c>
      <c r="C27" s="11" t="n">
        <v>512</v>
      </c>
      <c r="D27" s="11" t="n">
        <v>512</v>
      </c>
      <c r="E27" s="11" t="n">
        <v>0</v>
      </c>
      <c r="F27" s="2" t="n">
        <v>0</v>
      </c>
      <c r="G27" s="2" t="n">
        <v>0</v>
      </c>
      <c r="H27" s="2" t="n">
        <v>0</v>
      </c>
      <c r="I27" s="3" t="n">
        <v>0</v>
      </c>
      <c r="J27" s="3" t="n">
        <v>0</v>
      </c>
      <c r="K27" s="3" t="n">
        <v>0</v>
      </c>
      <c r="L27" s="13" t="n">
        <v>512</v>
      </c>
      <c r="M27" s="13" t="n">
        <v>512</v>
      </c>
      <c r="N27" s="13" t="n">
        <v>0</v>
      </c>
      <c r="O27" s="3">
        <f>C27*D27/1024</f>
        <v/>
      </c>
      <c r="P27" s="3" t="n">
        <v>0</v>
      </c>
      <c r="Q27" s="3" t="n">
        <v>0</v>
      </c>
      <c r="R27" s="3">
        <f>L27*M27/1024</f>
        <v/>
      </c>
      <c r="S27" s="3">
        <f>C27*D27/128</f>
        <v/>
      </c>
      <c r="T27" s="3">
        <f>(S27/$Y$2)/1000</f>
        <v/>
      </c>
      <c r="U27" s="26">
        <f>((O27*8*1024)/$T27)/1000</f>
        <v/>
      </c>
      <c r="V27" s="26">
        <f>((P27*8*1024)/$T27)/1000</f>
        <v/>
      </c>
      <c r="W27" s="26">
        <f>((Q27*8*1024)/$T27)/1000</f>
        <v/>
      </c>
      <c r="X27" s="26">
        <f>((R27*8*1024)/$T27)/1000</f>
        <v/>
      </c>
    </row>
    <row r="28">
      <c r="A28" s="7" t="inlineStr">
        <is>
          <t>softmax (1 head)</t>
        </is>
      </c>
      <c r="B28" s="7" t="inlineStr">
        <is>
          <t>multiply(1/Z)</t>
        </is>
      </c>
      <c r="C28" s="11" t="n">
        <v>512</v>
      </c>
      <c r="D28" s="11" t="n">
        <v>512</v>
      </c>
      <c r="E28" s="11" t="n">
        <v>0</v>
      </c>
      <c r="F28" s="2" t="n">
        <v>0</v>
      </c>
      <c r="G28" s="2" t="n">
        <v>0</v>
      </c>
      <c r="H28" s="2" t="n">
        <v>0</v>
      </c>
      <c r="I28" s="3" t="n">
        <v>0</v>
      </c>
      <c r="J28" s="3" t="n">
        <v>0</v>
      </c>
      <c r="K28" s="3" t="n">
        <v>0</v>
      </c>
      <c r="L28" s="13" t="n">
        <v>512</v>
      </c>
      <c r="M28" s="13" t="n">
        <v>512</v>
      </c>
      <c r="N28" s="13" t="n">
        <v>0</v>
      </c>
      <c r="O28" s="3">
        <f>C28*D28/1024</f>
        <v/>
      </c>
      <c r="P28" s="3" t="n">
        <v>0</v>
      </c>
      <c r="Q28" s="3" t="n">
        <v>0</v>
      </c>
      <c r="R28" s="3">
        <f>L28*M28/1024</f>
        <v/>
      </c>
      <c r="S28" s="3">
        <f>C28*D28/128</f>
        <v/>
      </c>
      <c r="T28" s="3">
        <f>(S28/$Y$2)/1000</f>
        <v/>
      </c>
      <c r="U28" s="26">
        <f>((O28*8*1024)/$T28)/1000</f>
        <v/>
      </c>
      <c r="V28" s="26">
        <f>((P28*8*1024)/$T28)/1000</f>
        <v/>
      </c>
      <c r="W28" s="26">
        <f>((Q28*8*1024)/$T28)/1000</f>
        <v/>
      </c>
      <c r="X28" s="26">
        <f>((R28*8*1024)/$T28)/1000</f>
        <v/>
      </c>
    </row>
    <row r="29">
      <c r="A29" s="7" t="inlineStr">
        <is>
          <t>attn @ V (1 head)</t>
        </is>
      </c>
      <c r="B29" s="7" t="inlineStr">
        <is>
          <t>multiply</t>
        </is>
      </c>
      <c r="C29" s="11" t="n">
        <v>512</v>
      </c>
      <c r="D29" s="11" t="n">
        <v>64</v>
      </c>
      <c r="E29" s="11" t="n">
        <v>0</v>
      </c>
      <c r="F29" s="2" t="n">
        <v>0</v>
      </c>
      <c r="G29" s="2" t="n">
        <v>512</v>
      </c>
      <c r="H29" s="2" t="n">
        <v>0</v>
      </c>
      <c r="I29" s="3" t="n">
        <v>0</v>
      </c>
      <c r="J29" s="3" t="n">
        <v>0</v>
      </c>
      <c r="K29" s="3" t="n">
        <v>0</v>
      </c>
      <c r="L29" s="13" t="n">
        <v>512</v>
      </c>
      <c r="M29" s="13" t="n">
        <v>64</v>
      </c>
      <c r="N29" s="13" t="n">
        <v>0</v>
      </c>
      <c r="O29" s="3">
        <f>C29*D29/1024</f>
        <v/>
      </c>
      <c r="P29" s="3" t="n">
        <v>0</v>
      </c>
      <c r="Q29" s="3" t="n">
        <v>0</v>
      </c>
      <c r="R29" s="3">
        <f>L29*M29/1024</f>
        <v/>
      </c>
      <c r="S29" s="3">
        <f>C29*D29*G29/128</f>
        <v/>
      </c>
      <c r="T29" s="3">
        <f>(S29/$Y$2)/1000</f>
        <v/>
      </c>
      <c r="U29" s="26">
        <f>((O29*8*1024)/$T29)/1000</f>
        <v/>
      </c>
      <c r="V29" s="26">
        <f>((P29*8*1024)/$T29)/1000</f>
        <v/>
      </c>
      <c r="W29" s="26">
        <f>((Q29*8*1024)/$T29)/1000</f>
        <v/>
      </c>
      <c r="X29" s="26">
        <f>((R29*8*1024)/$T29)/1000</f>
        <v/>
      </c>
    </row>
    <row r="30">
      <c r="A30" s="7" t="inlineStr">
        <is>
          <t>attn @ V (1 head)</t>
        </is>
      </c>
      <c r="B30" s="7" t="inlineStr">
        <is>
          <t>accumulate</t>
        </is>
      </c>
      <c r="C30" s="11" t="n">
        <v>512</v>
      </c>
      <c r="D30" s="11" t="n">
        <v>64</v>
      </c>
      <c r="E30" s="11" t="n">
        <v>0</v>
      </c>
      <c r="F30" s="2" t="n">
        <v>0</v>
      </c>
      <c r="G30" s="2" t="n">
        <v>512</v>
      </c>
      <c r="H30" s="2" t="n">
        <v>0</v>
      </c>
      <c r="I30" s="3" t="n">
        <v>0</v>
      </c>
      <c r="J30" s="3" t="n">
        <v>0</v>
      </c>
      <c r="K30" s="3" t="n">
        <v>0</v>
      </c>
      <c r="L30" s="13" t="n">
        <v>512</v>
      </c>
      <c r="M30" s="13" t="n">
        <v>64</v>
      </c>
      <c r="N30" s="13" t="n">
        <v>0</v>
      </c>
      <c r="O30" s="3">
        <f>C30*D30/1024</f>
        <v/>
      </c>
      <c r="P30" s="3" t="n">
        <v>0</v>
      </c>
      <c r="Q30" s="3" t="n">
        <v>0</v>
      </c>
      <c r="R30" s="3">
        <f>L30*M30/1024</f>
        <v/>
      </c>
      <c r="S30" s="3">
        <f>C30*D30*G30/128</f>
        <v/>
      </c>
      <c r="T30" s="3">
        <f>(S30/$Y$2)/1000</f>
        <v/>
      </c>
      <c r="U30" s="26">
        <f>((O30*8*1024)/$T30)/1000</f>
        <v/>
      </c>
      <c r="V30" s="26">
        <f>((P30*8*1024)/$T30)/1000</f>
        <v/>
      </c>
      <c r="W30" s="26">
        <f>((Q30*8*1024)/$T30)/1000</f>
        <v/>
      </c>
      <c r="X30" s="26">
        <f>((R30*8*1024)/$T30)/1000</f>
        <v/>
      </c>
    </row>
    <row r="31">
      <c r="A31" s="7" t="inlineStr">
        <is>
          <t>concat heads</t>
        </is>
      </c>
      <c r="B31" s="7" t="inlineStr">
        <is>
          <t>reshape</t>
        </is>
      </c>
      <c r="C31" s="11" t="n">
        <v>256</v>
      </c>
      <c r="D31" s="11" t="n">
        <v>512</v>
      </c>
      <c r="E31" s="11" t="n">
        <v>0</v>
      </c>
      <c r="F31" s="2" t="n">
        <v>0</v>
      </c>
      <c r="G31" s="2" t="n">
        <v>0</v>
      </c>
      <c r="H31" s="2" t="n">
        <v>0</v>
      </c>
      <c r="I31" s="3" t="n">
        <v>0</v>
      </c>
      <c r="J31" s="3" t="n">
        <v>0</v>
      </c>
      <c r="K31" s="3" t="n">
        <v>0</v>
      </c>
      <c r="L31" s="13" t="n">
        <v>256</v>
      </c>
      <c r="M31" s="13" t="n">
        <v>512</v>
      </c>
      <c r="N31" s="13" t="n">
        <v>0</v>
      </c>
      <c r="O31" s="3">
        <f>C31*D31/1024</f>
        <v/>
      </c>
      <c r="P31" s="3" t="n">
        <v>0</v>
      </c>
      <c r="Q31" s="3" t="n">
        <v>0</v>
      </c>
      <c r="R31" s="3">
        <f>L31*M31/1024</f>
        <v/>
      </c>
      <c r="S31" s="3" t="inlineStr">
        <is>
          <t>0</t>
        </is>
      </c>
      <c r="T31" s="3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17" t="inlineStr">
        <is>
          <t>total 4 heads [us]</t>
        </is>
      </c>
      <c r="Z31" s="17">
        <f>4*(SUM(T21:T30))</f>
        <v/>
      </c>
    </row>
    <row r="32">
      <c r="A32" s="7" t="inlineStr">
        <is>
          <t>out proj D-&gt;D</t>
        </is>
      </c>
      <c r="B32" s="7" t="inlineStr">
        <is>
          <t>multiply</t>
        </is>
      </c>
      <c r="C32" s="11" t="n">
        <v>256</v>
      </c>
      <c r="D32" s="11" t="n">
        <v>512</v>
      </c>
      <c r="E32" s="11" t="n">
        <v>0</v>
      </c>
      <c r="F32" s="2" t="n">
        <v>0</v>
      </c>
      <c r="G32" s="2" t="n">
        <v>256</v>
      </c>
      <c r="H32" s="2" t="n">
        <v>0</v>
      </c>
      <c r="I32" s="3" t="n">
        <v>0</v>
      </c>
      <c r="J32" s="3" t="n">
        <v>0</v>
      </c>
      <c r="K32" s="3" t="n">
        <v>0</v>
      </c>
      <c r="L32" s="13" t="n">
        <v>256</v>
      </c>
      <c r="M32" s="13" t="n">
        <v>512</v>
      </c>
      <c r="N32" s="13" t="n">
        <v>0</v>
      </c>
      <c r="O32" s="3">
        <f>C32*D32/1024</f>
        <v/>
      </c>
      <c r="P32" s="3" t="n">
        <v>0</v>
      </c>
      <c r="Q32" s="3" t="n">
        <v>0</v>
      </c>
      <c r="R32" s="3">
        <f>L32*M32/1024</f>
        <v/>
      </c>
      <c r="S32" s="3">
        <f>C32*D32*G32/128</f>
        <v/>
      </c>
      <c r="T32" s="3">
        <f>(S32/$Y$2)/1000</f>
        <v/>
      </c>
      <c r="U32" s="26">
        <f>((O32*8*1024)/$T32)/1000</f>
        <v/>
      </c>
      <c r="V32" s="26">
        <f>((P32*8*1024)/$T32)/1000</f>
        <v/>
      </c>
      <c r="W32" s="26">
        <f>((Q32*8*1024)/$T32)/1000</f>
        <v/>
      </c>
      <c r="X32" s="26">
        <f>((R32*8*1024)/$T32)/1000</f>
        <v/>
      </c>
    </row>
    <row r="33">
      <c r="A33" s="7" t="inlineStr">
        <is>
          <t>out proj D-&gt;D</t>
        </is>
      </c>
      <c r="B33" s="7" t="inlineStr">
        <is>
          <t>accumulate</t>
        </is>
      </c>
      <c r="C33" s="11" t="n">
        <v>256</v>
      </c>
      <c r="D33" s="11" t="n">
        <v>512</v>
      </c>
      <c r="E33" s="11" t="n">
        <v>0</v>
      </c>
      <c r="F33" s="2" t="n">
        <v>0</v>
      </c>
      <c r="G33" s="2" t="n">
        <v>256</v>
      </c>
      <c r="H33" s="2" t="n">
        <v>0</v>
      </c>
      <c r="I33" s="3" t="n">
        <v>0</v>
      </c>
      <c r="J33" s="3" t="n">
        <v>0</v>
      </c>
      <c r="K33" s="3" t="n">
        <v>0</v>
      </c>
      <c r="L33" s="13" t="n">
        <v>256</v>
      </c>
      <c r="M33" s="13" t="n">
        <v>512</v>
      </c>
      <c r="N33" s="13" t="n">
        <v>0</v>
      </c>
      <c r="O33" s="3">
        <f>C33*D33/1024</f>
        <v/>
      </c>
      <c r="P33" s="3" t="n">
        <v>0</v>
      </c>
      <c r="Q33" s="3" t="n">
        <v>0</v>
      </c>
      <c r="R33" s="3">
        <f>L33*M33/1024</f>
        <v/>
      </c>
      <c r="S33" s="3">
        <f>C33*D33*G33/128</f>
        <v/>
      </c>
      <c r="T33" s="3">
        <f>(S33/$Y$2)/1000</f>
        <v/>
      </c>
      <c r="U33" s="26">
        <f>((O33*8*1024)/$T33)/1000</f>
        <v/>
      </c>
      <c r="V33" s="26">
        <f>((P33*8*1024)/$T33)/1000</f>
        <v/>
      </c>
      <c r="W33" s="26">
        <f>((Q33*8*1024)/$T33)/1000</f>
        <v/>
      </c>
      <c r="X33" s="26">
        <f>((R33*8*1024)/$T33)/1000</f>
        <v/>
      </c>
    </row>
    <row r="34">
      <c r="A34" s="7" t="inlineStr">
        <is>
          <t>Residual x+=msg</t>
        </is>
      </c>
      <c r="B34" s="7" t="inlineStr">
        <is>
          <t>add</t>
        </is>
      </c>
      <c r="C34" s="11" t="n">
        <v>256</v>
      </c>
      <c r="D34" s="11" t="n">
        <v>512</v>
      </c>
      <c r="E34" s="11" t="n">
        <v>0</v>
      </c>
      <c r="F34" s="2" t="n">
        <v>0</v>
      </c>
      <c r="G34" s="2" t="n">
        <v>0</v>
      </c>
      <c r="H34" s="2" t="n">
        <v>0</v>
      </c>
      <c r="I34" s="3" t="n">
        <v>0</v>
      </c>
      <c r="J34" s="3" t="n">
        <v>0</v>
      </c>
      <c r="K34" s="3" t="n">
        <v>0</v>
      </c>
      <c r="L34" s="13" t="n">
        <v>256</v>
      </c>
      <c r="M34" s="13" t="n">
        <v>512</v>
      </c>
      <c r="N34" s="13" t="n">
        <v>0</v>
      </c>
      <c r="O34" s="3">
        <f>C34*D34/1024</f>
        <v/>
      </c>
      <c r="P34" s="3" t="n">
        <v>0</v>
      </c>
      <c r="Q34" s="3" t="n">
        <v>0</v>
      </c>
      <c r="R34" s="3">
        <f>L34*M34/1024</f>
        <v/>
      </c>
      <c r="S34" s="3">
        <f>C34*D34/128</f>
        <v/>
      </c>
      <c r="T34" s="3">
        <f>(S34/$Y$2)/1000</f>
        <v/>
      </c>
      <c r="U34" s="26">
        <f>((O34*8*1024)/$T34)/1000</f>
        <v/>
      </c>
      <c r="V34" s="26">
        <f>((P34*8*1024)/$T34)/1000</f>
        <v/>
      </c>
      <c r="W34" s="26">
        <f>((Q34*8*1024)/$T34)/1000</f>
        <v/>
      </c>
      <c r="X34" s="26">
        <f>((R34*8*1024)/$T34)/1000</f>
        <v/>
      </c>
    </row>
    <row r="35">
      <c r="A35" s="7" t="inlineStr">
        <is>
          <t>merge MLP 2D-&gt;2D</t>
        </is>
      </c>
      <c r="B35" s="7" t="inlineStr">
        <is>
          <t>multiply</t>
        </is>
      </c>
      <c r="C35" s="11" t="n">
        <v>512</v>
      </c>
      <c r="D35" s="11" t="n">
        <v>512</v>
      </c>
      <c r="E35" s="11" t="n">
        <v>0</v>
      </c>
      <c r="F35" s="2" t="n">
        <v>0</v>
      </c>
      <c r="G35" s="2" t="n">
        <v>512</v>
      </c>
      <c r="H35" s="2" t="n">
        <v>0</v>
      </c>
      <c r="I35" s="3" t="n">
        <v>0</v>
      </c>
      <c r="J35" s="3" t="n">
        <v>0</v>
      </c>
      <c r="K35" s="3" t="n">
        <v>0</v>
      </c>
      <c r="L35" s="13" t="n">
        <v>512</v>
      </c>
      <c r="M35" s="13" t="n">
        <v>512</v>
      </c>
      <c r="N35" s="13" t="n">
        <v>0</v>
      </c>
      <c r="O35" s="3">
        <f>C35*D35/1024</f>
        <v/>
      </c>
      <c r="P35" s="3" t="n">
        <v>0</v>
      </c>
      <c r="Q35" s="3" t="n">
        <v>0</v>
      </c>
      <c r="R35" s="3">
        <f>L35*M35/1024</f>
        <v/>
      </c>
      <c r="S35" s="3">
        <f>C35*D35*G35/128</f>
        <v/>
      </c>
      <c r="T35" s="3">
        <f>(S35/$Y$2)/1000</f>
        <v/>
      </c>
      <c r="U35" s="26">
        <f>((O35*8*1024)/$T35)/1000</f>
        <v/>
      </c>
      <c r="V35" s="26">
        <f>((P35*8*1024)/$T35)/1000</f>
        <v/>
      </c>
      <c r="W35" s="26">
        <f>((Q35*8*1024)/$T35)/1000</f>
        <v/>
      </c>
      <c r="X35" s="26">
        <f>((R35*8*1024)/$T35)/1000</f>
        <v/>
      </c>
    </row>
    <row r="36">
      <c r="A36" s="7" t="inlineStr">
        <is>
          <t>merge MLP 2D-&gt;2D</t>
        </is>
      </c>
      <c r="B36" s="7" t="inlineStr">
        <is>
          <t>accumulate</t>
        </is>
      </c>
      <c r="C36" s="11" t="n">
        <v>512</v>
      </c>
      <c r="D36" s="11" t="n">
        <v>512</v>
      </c>
      <c r="E36" s="11" t="n">
        <v>0</v>
      </c>
      <c r="F36" s="2" t="n">
        <v>0</v>
      </c>
      <c r="G36" s="2" t="n">
        <v>512</v>
      </c>
      <c r="H36" s="2" t="n">
        <v>0</v>
      </c>
      <c r="I36" s="3" t="n">
        <v>0</v>
      </c>
      <c r="J36" s="3" t="n">
        <v>0</v>
      </c>
      <c r="K36" s="3" t="n">
        <v>0</v>
      </c>
      <c r="L36" s="13" t="n">
        <v>512</v>
      </c>
      <c r="M36" s="13" t="n">
        <v>512</v>
      </c>
      <c r="N36" s="13" t="n">
        <v>0</v>
      </c>
      <c r="O36" s="3">
        <f>C36*D36/1024</f>
        <v/>
      </c>
      <c r="P36" s="3" t="n">
        <v>0</v>
      </c>
      <c r="Q36" s="3" t="n">
        <v>0</v>
      </c>
      <c r="R36" s="3">
        <f>L36*M36/1024</f>
        <v/>
      </c>
      <c r="S36" s="3">
        <f>C36*D36*G36/128</f>
        <v/>
      </c>
      <c r="T36" s="3">
        <f>(S36/$Y$2)/1000</f>
        <v/>
      </c>
      <c r="U36" s="26">
        <f>((O36*8*1024)/$T36)/1000</f>
        <v/>
      </c>
      <c r="V36" s="26">
        <f>((P36*8*1024)/$T36)/1000</f>
        <v/>
      </c>
      <c r="W36" s="26">
        <f>((Q36*8*1024)/$T36)/1000</f>
        <v/>
      </c>
      <c r="X36" s="26">
        <f>((R36*8*1024)/$T36)/1000</f>
        <v/>
      </c>
    </row>
    <row r="37">
      <c r="A37" s="7" t="inlineStr">
        <is>
          <t>merge MLP relu</t>
        </is>
      </c>
      <c r="B37" s="7" t="inlineStr">
        <is>
          <t>relu</t>
        </is>
      </c>
      <c r="C37" s="11" t="n">
        <v>512</v>
      </c>
      <c r="D37" s="11" t="n">
        <v>512</v>
      </c>
      <c r="E37" s="11" t="n">
        <v>0</v>
      </c>
      <c r="F37" s="2" t="n">
        <v>0</v>
      </c>
      <c r="G37" s="2" t="n">
        <v>0</v>
      </c>
      <c r="H37" s="2" t="n">
        <v>0</v>
      </c>
      <c r="I37" s="3" t="n">
        <v>0</v>
      </c>
      <c r="J37" s="3" t="n">
        <v>0</v>
      </c>
      <c r="K37" s="3" t="n">
        <v>0</v>
      </c>
      <c r="L37" s="13" t="n">
        <v>512</v>
      </c>
      <c r="M37" s="13" t="n">
        <v>512</v>
      </c>
      <c r="N37" s="13" t="n">
        <v>0</v>
      </c>
      <c r="O37" s="3">
        <f>C37*D37/1024</f>
        <v/>
      </c>
      <c r="P37" s="3" t="n">
        <v>0</v>
      </c>
      <c r="Q37" s="3" t="n">
        <v>0</v>
      </c>
      <c r="R37" s="3">
        <f>L37*M37/1024</f>
        <v/>
      </c>
      <c r="S37" s="3">
        <f>C37*D37/128</f>
        <v/>
      </c>
      <c r="T37" s="3">
        <f>(S37/$Y$2)/1000</f>
        <v/>
      </c>
      <c r="U37" s="26">
        <f>((O37*8*1024)/$T37)/1000</f>
        <v/>
      </c>
      <c r="V37" s="26">
        <f>((P37*8*1024)/$T37)/1000</f>
        <v/>
      </c>
      <c r="W37" s="26">
        <f>((Q37*8*1024)/$T37)/1000</f>
        <v/>
      </c>
      <c r="X37" s="26">
        <f>((R37*8*1024)/$T37)/1000</f>
        <v/>
      </c>
    </row>
    <row r="38">
      <c r="A38" s="7" t="inlineStr">
        <is>
          <t>merge MLP 2D-&gt;D</t>
        </is>
      </c>
      <c r="B38" s="7" t="inlineStr">
        <is>
          <t>multiply</t>
        </is>
      </c>
      <c r="C38" s="11" t="n">
        <v>256</v>
      </c>
      <c r="D38" s="11" t="n">
        <v>512</v>
      </c>
      <c r="E38" s="11" t="n">
        <v>0</v>
      </c>
      <c r="F38" s="2" t="n">
        <v>0</v>
      </c>
      <c r="G38" s="2" t="n">
        <v>512</v>
      </c>
      <c r="H38" s="2" t="n">
        <v>0</v>
      </c>
      <c r="I38" s="3" t="n">
        <v>0</v>
      </c>
      <c r="J38" s="3" t="n">
        <v>0</v>
      </c>
      <c r="K38" s="3" t="n">
        <v>0</v>
      </c>
      <c r="L38" s="13" t="n">
        <v>256</v>
      </c>
      <c r="M38" s="13" t="n">
        <v>512</v>
      </c>
      <c r="N38" s="13" t="n">
        <v>0</v>
      </c>
      <c r="O38" s="3">
        <f>C38*D38/1024</f>
        <v/>
      </c>
      <c r="P38" s="3" t="n">
        <v>0</v>
      </c>
      <c r="Q38" s="3" t="n">
        <v>0</v>
      </c>
      <c r="R38" s="3">
        <f>L38*M38/1024</f>
        <v/>
      </c>
      <c r="S38" s="3">
        <f>C38*D38*G38/128</f>
        <v/>
      </c>
      <c r="T38" s="3">
        <f>(S38/$Y$2)/1000</f>
        <v/>
      </c>
      <c r="U38" s="26">
        <f>((O38*8*1024)/$T38)/1000</f>
        <v/>
      </c>
      <c r="V38" s="26">
        <f>((P38*8*1024)/$T38)/1000</f>
        <v/>
      </c>
      <c r="W38" s="26">
        <f>((Q38*8*1024)/$T38)/1000</f>
        <v/>
      </c>
      <c r="X38" s="26">
        <f>((R38*8*1024)/$T38)/1000</f>
        <v/>
      </c>
    </row>
    <row r="39">
      <c r="A39" s="7" t="inlineStr">
        <is>
          <t>merge MLP 2D-&gt;D</t>
        </is>
      </c>
      <c r="B39" s="7" t="inlineStr">
        <is>
          <t>accumulate</t>
        </is>
      </c>
      <c r="C39" s="11" t="n">
        <v>256</v>
      </c>
      <c r="D39" s="11" t="n">
        <v>512</v>
      </c>
      <c r="E39" s="11" t="n">
        <v>0</v>
      </c>
      <c r="F39" s="2" t="n">
        <v>0</v>
      </c>
      <c r="G39" s="2" t="n">
        <v>512</v>
      </c>
      <c r="H39" s="2" t="n">
        <v>0</v>
      </c>
      <c r="I39" s="3" t="n">
        <v>0</v>
      </c>
      <c r="J39" s="3" t="n">
        <v>0</v>
      </c>
      <c r="K39" s="3" t="n">
        <v>0</v>
      </c>
      <c r="L39" s="13" t="n">
        <v>256</v>
      </c>
      <c r="M39" s="13" t="n">
        <v>512</v>
      </c>
      <c r="N39" s="13" t="n">
        <v>0</v>
      </c>
      <c r="O39" s="3">
        <f>C39*D39/1024</f>
        <v/>
      </c>
      <c r="P39" s="3" t="n">
        <v>0</v>
      </c>
      <c r="Q39" s="3" t="n">
        <v>0</v>
      </c>
      <c r="R39" s="3">
        <f>L39*M39/1024</f>
        <v/>
      </c>
      <c r="S39" s="3">
        <f>C39*D39*G39/128</f>
        <v/>
      </c>
      <c r="T39" s="3">
        <f>(S39/$Y$2)/1000</f>
        <v/>
      </c>
      <c r="U39" s="26">
        <f>((O39*8*1024)/$T39)/1000</f>
        <v/>
      </c>
      <c r="V39" s="26">
        <f>((P39*8*1024)/$T39)/1000</f>
        <v/>
      </c>
      <c r="W39" s="26">
        <f>((Q39*8*1024)/$T39)/1000</f>
        <v/>
      </c>
      <c r="X39" s="26">
        <f>((R39*8*1024)/$T39)/1000</f>
        <v/>
      </c>
    </row>
    <row r="40">
      <c r="A40" s="7" t="inlineStr">
        <is>
          <t>Residual x+=mlp</t>
        </is>
      </c>
      <c r="B40" s="7" t="inlineStr">
        <is>
          <t>add</t>
        </is>
      </c>
      <c r="C40" s="11" t="n">
        <v>256</v>
      </c>
      <c r="D40" s="11" t="n">
        <v>512</v>
      </c>
      <c r="E40" s="11" t="n">
        <v>0</v>
      </c>
      <c r="F40" s="2" t="n">
        <v>0</v>
      </c>
      <c r="G40" s="2" t="n">
        <v>0</v>
      </c>
      <c r="H40" s="2" t="n">
        <v>0</v>
      </c>
      <c r="I40" s="3" t="n">
        <v>0</v>
      </c>
      <c r="J40" s="3" t="n">
        <v>0</v>
      </c>
      <c r="K40" s="3" t="n">
        <v>0</v>
      </c>
      <c r="L40" s="13" t="n">
        <v>256</v>
      </c>
      <c r="M40" s="13" t="n">
        <v>512</v>
      </c>
      <c r="N40" s="13" t="n">
        <v>0</v>
      </c>
      <c r="O40" s="3">
        <f>C40*D40/1024</f>
        <v/>
      </c>
      <c r="P40" s="3" t="n">
        <v>0</v>
      </c>
      <c r="Q40" s="3" t="n">
        <v>0</v>
      </c>
      <c r="R40" s="3">
        <f>L40*M40/1024</f>
        <v/>
      </c>
      <c r="S40" s="3">
        <f>C40*D40/128</f>
        <v/>
      </c>
      <c r="T40" s="3">
        <f>(S40/$Y$2)/1000</f>
        <v/>
      </c>
      <c r="U40" s="26">
        <f>((O40*8*1024)/$T40)/1000</f>
        <v/>
      </c>
      <c r="V40" s="26">
        <f>((P40*8*1024)/$T40)/1000</f>
        <v/>
      </c>
      <c r="W40" s="26">
        <f>((Q40*8*1024)/$T40)/1000</f>
        <v/>
      </c>
      <c r="X40" s="26">
        <f>((R40*8*1024)/$T40)/1000</f>
        <v/>
      </c>
      <c r="Y40" s="17" t="inlineStr">
        <is>
          <t>GNN total [us] -&gt;</t>
        </is>
      </c>
      <c r="Z40" s="17">
        <f>36*(SUM(T12:T40)+3*(SUM(T21:T30)))</f>
        <v/>
      </c>
    </row>
    <row r="41">
      <c r="A41" s="7" t="inlineStr">
        <is>
          <t>final proj D-&gt;D</t>
        </is>
      </c>
      <c r="B41" s="7" t="inlineStr">
        <is>
          <t>multiply</t>
        </is>
      </c>
      <c r="C41" s="11" t="n">
        <v>256</v>
      </c>
      <c r="D41" s="11" t="n">
        <v>512</v>
      </c>
      <c r="E41" s="11" t="n">
        <v>0</v>
      </c>
      <c r="F41" s="2" t="n">
        <v>0</v>
      </c>
      <c r="G41" s="2" t="n">
        <v>256</v>
      </c>
      <c r="H41" s="2" t="n">
        <v>0</v>
      </c>
      <c r="I41" s="3" t="n">
        <v>0</v>
      </c>
      <c r="J41" s="3" t="n">
        <v>0</v>
      </c>
      <c r="K41" s="3" t="n">
        <v>0</v>
      </c>
      <c r="L41" s="13" t="n">
        <v>256</v>
      </c>
      <c r="M41" s="13" t="n">
        <v>512</v>
      </c>
      <c r="N41" s="13" t="n">
        <v>0</v>
      </c>
      <c r="O41" s="3">
        <f>C41*D41/1024</f>
        <v/>
      </c>
      <c r="P41" s="3" t="n">
        <v>0</v>
      </c>
      <c r="Q41" s="3" t="n">
        <v>0</v>
      </c>
      <c r="R41" s="3">
        <f>L41*M41/1024</f>
        <v/>
      </c>
      <c r="S41" s="3">
        <f>C41*D41*G41/128</f>
        <v/>
      </c>
      <c r="T41" s="3">
        <f>(S41/$Y$2)/1000</f>
        <v/>
      </c>
      <c r="U41" s="26">
        <f>((O41*8*1024)/$T41)/1000</f>
        <v/>
      </c>
      <c r="V41" s="26">
        <f>((P41*8*1024)/$T41)/1000</f>
        <v/>
      </c>
      <c r="W41" s="26">
        <f>((Q41*8*1024)/$T41)/1000</f>
        <v/>
      </c>
      <c r="X41" s="26">
        <f>((R41*8*1024)/$T41)/1000</f>
        <v/>
      </c>
    </row>
    <row r="42">
      <c r="A42" s="7" t="inlineStr">
        <is>
          <t>final proj D-&gt;D</t>
        </is>
      </c>
      <c r="B42" s="7" t="inlineStr">
        <is>
          <t>accumulate</t>
        </is>
      </c>
      <c r="C42" s="11" t="n">
        <v>256</v>
      </c>
      <c r="D42" s="11" t="n">
        <v>512</v>
      </c>
      <c r="E42" s="11" t="n">
        <v>0</v>
      </c>
      <c r="F42" s="2" t="n">
        <v>0</v>
      </c>
      <c r="G42" s="2" t="n">
        <v>256</v>
      </c>
      <c r="H42" s="2" t="n">
        <v>0</v>
      </c>
      <c r="I42" s="3" t="n">
        <v>0</v>
      </c>
      <c r="J42" s="3" t="n">
        <v>0</v>
      </c>
      <c r="K42" s="3" t="n">
        <v>0</v>
      </c>
      <c r="L42" s="13" t="n">
        <v>256</v>
      </c>
      <c r="M42" s="13" t="n">
        <v>512</v>
      </c>
      <c r="N42" s="13" t="n">
        <v>0</v>
      </c>
      <c r="O42" s="3">
        <f>C42*D42/1024</f>
        <v/>
      </c>
      <c r="P42" s="3" t="n">
        <v>0</v>
      </c>
      <c r="Q42" s="3" t="n">
        <v>0</v>
      </c>
      <c r="R42" s="3">
        <f>L42*M42/1024</f>
        <v/>
      </c>
      <c r="S42" s="3">
        <f>C42*D42*G42/128</f>
        <v/>
      </c>
      <c r="T42" s="3">
        <f>(S42/$Y$2)/1000</f>
        <v/>
      </c>
      <c r="U42" s="26">
        <f>((O42*8*1024)/$T42)/1000</f>
        <v/>
      </c>
      <c r="V42" s="26">
        <f>((P42*8*1024)/$T42)/1000</f>
        <v/>
      </c>
      <c r="W42" s="26">
        <f>((Q42*8*1024)/$T42)/1000</f>
        <v/>
      </c>
      <c r="X42" s="26">
        <f>((R42*8*1024)/$T42)/1000</f>
        <v/>
      </c>
    </row>
    <row r="43">
      <c r="A43" s="7" t="inlineStr">
        <is>
          <t>score = A^T B</t>
        </is>
      </c>
      <c r="B43" s="7" t="inlineStr">
        <is>
          <t>multiply</t>
        </is>
      </c>
      <c r="C43" s="11" t="n">
        <v>512</v>
      </c>
      <c r="D43" s="11" t="n">
        <v>512</v>
      </c>
      <c r="E43" s="11" t="n">
        <v>0</v>
      </c>
      <c r="F43" s="2" t="n">
        <v>0</v>
      </c>
      <c r="G43" s="2" t="n">
        <v>256</v>
      </c>
      <c r="H43" s="2" t="n">
        <v>0</v>
      </c>
      <c r="I43" s="3" t="n">
        <v>0</v>
      </c>
      <c r="J43" s="3" t="n">
        <v>0</v>
      </c>
      <c r="K43" s="3" t="n">
        <v>0</v>
      </c>
      <c r="L43" s="13" t="n">
        <v>512</v>
      </c>
      <c r="M43" s="13" t="n">
        <v>512</v>
      </c>
      <c r="N43" s="13" t="n">
        <v>0</v>
      </c>
      <c r="O43" s="3">
        <f>C43*D43/1024</f>
        <v/>
      </c>
      <c r="P43" s="3" t="n">
        <v>0</v>
      </c>
      <c r="Q43" s="3" t="n">
        <v>0</v>
      </c>
      <c r="R43" s="3">
        <f>L43*M43/1024</f>
        <v/>
      </c>
      <c r="S43" s="3">
        <f>C43*D43*G43/128</f>
        <v/>
      </c>
      <c r="T43" s="3">
        <f>(S43/$Y$2)/1000</f>
        <v/>
      </c>
      <c r="U43" s="26">
        <f>((O43*8*1024)/$T43)/1000</f>
        <v/>
      </c>
      <c r="V43" s="26">
        <f>((P43*8*1024)/$T43)/1000</f>
        <v/>
      </c>
      <c r="W43" s="26">
        <f>((Q43*8*1024)/$T43)/1000</f>
        <v/>
      </c>
      <c r="X43" s="26">
        <f>((R43*8*1024)/$T43)/1000</f>
        <v/>
      </c>
    </row>
    <row r="44">
      <c r="A44" s="7" t="inlineStr">
        <is>
          <t>score = A^T B</t>
        </is>
      </c>
      <c r="B44" s="7" t="inlineStr">
        <is>
          <t>accumulate</t>
        </is>
      </c>
      <c r="C44" s="11" t="n">
        <v>512</v>
      </c>
      <c r="D44" s="11" t="n">
        <v>512</v>
      </c>
      <c r="E44" s="11" t="n">
        <v>0</v>
      </c>
      <c r="F44" s="2" t="n">
        <v>0</v>
      </c>
      <c r="G44" s="2" t="n">
        <v>256</v>
      </c>
      <c r="H44" s="2" t="n">
        <v>0</v>
      </c>
      <c r="I44" s="3" t="n">
        <v>0</v>
      </c>
      <c r="J44" s="3" t="n">
        <v>0</v>
      </c>
      <c r="K44" s="3" t="n">
        <v>0</v>
      </c>
      <c r="L44" s="13" t="n">
        <v>512</v>
      </c>
      <c r="M44" s="13" t="n">
        <v>512</v>
      </c>
      <c r="N44" s="13" t="n">
        <v>0</v>
      </c>
      <c r="O44" s="3">
        <f>C44*D44/1024</f>
        <v/>
      </c>
      <c r="P44" s="3" t="n">
        <v>0</v>
      </c>
      <c r="Q44" s="3" t="n">
        <v>0</v>
      </c>
      <c r="R44" s="3">
        <f>L44*M44/1024</f>
        <v/>
      </c>
      <c r="S44" s="3">
        <f>C44*D44*G44/128</f>
        <v/>
      </c>
      <c r="T44" s="3">
        <f>(S44/$Y$2)/1000</f>
        <v/>
      </c>
      <c r="U44" s="26">
        <f>((O44*8*1024)/$T44)/1000</f>
        <v/>
      </c>
      <c r="V44" s="26">
        <f>((P44*8*1024)/$T44)/1000</f>
        <v/>
      </c>
      <c r="W44" s="26">
        <f>((Q44*8*1024)/$T44)/1000</f>
        <v/>
      </c>
      <c r="X44" s="26">
        <f>((R44*8*1024)/$T44)/1000</f>
        <v/>
      </c>
    </row>
    <row r="45">
      <c r="A45" s="7" t="inlineStr">
        <is>
          <t>scale 1/sqrt(d)</t>
        </is>
      </c>
      <c r="B45" s="7" t="inlineStr">
        <is>
          <t>multiply</t>
        </is>
      </c>
      <c r="C45" s="11" t="n">
        <v>512</v>
      </c>
      <c r="D45" s="11" t="n">
        <v>512</v>
      </c>
      <c r="E45" s="11" t="n">
        <v>0</v>
      </c>
      <c r="F45" s="2" t="n">
        <v>0</v>
      </c>
      <c r="G45" s="2" t="n">
        <v>0</v>
      </c>
      <c r="H45" s="2" t="n">
        <v>0</v>
      </c>
      <c r="I45" s="3" t="n">
        <v>0</v>
      </c>
      <c r="J45" s="3" t="n">
        <v>0</v>
      </c>
      <c r="K45" s="3" t="n">
        <v>0</v>
      </c>
      <c r="L45" s="13" t="n">
        <v>512</v>
      </c>
      <c r="M45" s="13" t="n">
        <v>512</v>
      </c>
      <c r="N45" s="13" t="n">
        <v>0</v>
      </c>
      <c r="O45" s="3">
        <f>C45*D45/1024</f>
        <v/>
      </c>
      <c r="P45" s="3" t="n">
        <v>0</v>
      </c>
      <c r="Q45" s="3" t="n">
        <v>0</v>
      </c>
      <c r="R45" s="3">
        <f>L45*M45/1024</f>
        <v/>
      </c>
      <c r="S45" s="3">
        <f>C45*D45/128</f>
        <v/>
      </c>
      <c r="T45" s="3">
        <f>(S45/$Y$2)/1000</f>
        <v/>
      </c>
      <c r="U45" s="26">
        <f>((O45*8*1024)/$T45)/1000</f>
        <v/>
      </c>
      <c r="V45" s="26">
        <f>((P45*8*1024)/$T45)/1000</f>
        <v/>
      </c>
      <c r="W45" s="26">
        <f>((Q45*8*1024)/$T45)/1000</f>
        <v/>
      </c>
      <c r="X45" s="26">
        <f>((R45*8*1024)/$T45)/1000</f>
        <v/>
      </c>
    </row>
    <row r="46">
      <c r="A46" s="7" t="inlineStr">
        <is>
          <t>dustbin augment</t>
        </is>
      </c>
      <c r="B46" s="7" t="inlineStr">
        <is>
          <t>reshape</t>
        </is>
      </c>
      <c r="C46" s="11" t="n">
        <v>513</v>
      </c>
      <c r="D46" s="11" t="n">
        <v>513</v>
      </c>
      <c r="E46" s="11" t="n">
        <v>0</v>
      </c>
      <c r="F46" s="2" t="n">
        <v>0</v>
      </c>
      <c r="G46" s="2" t="n">
        <v>0</v>
      </c>
      <c r="H46" s="2" t="n">
        <v>0</v>
      </c>
      <c r="I46" s="3" t="n">
        <v>0</v>
      </c>
      <c r="J46" s="3" t="n">
        <v>0</v>
      </c>
      <c r="K46" s="3" t="n">
        <v>0</v>
      </c>
      <c r="L46" s="13" t="n">
        <v>513</v>
      </c>
      <c r="M46" s="13" t="n">
        <v>513</v>
      </c>
      <c r="N46" s="13" t="n">
        <v>0</v>
      </c>
      <c r="O46" s="3">
        <f>C46*D46/1024</f>
        <v/>
      </c>
      <c r="P46" s="3" t="n">
        <v>0</v>
      </c>
      <c r="Q46" s="3" t="n">
        <v>0</v>
      </c>
      <c r="R46" s="3">
        <f>L46*M46/1024</f>
        <v/>
      </c>
      <c r="S46" s="3" t="inlineStr">
        <is>
          <t>0</t>
        </is>
      </c>
      <c r="T46" s="3" t="n">
        <v>0</v>
      </c>
      <c r="U46" s="26" t="n">
        <v>0</v>
      </c>
      <c r="V46" s="26" t="n">
        <v>0</v>
      </c>
      <c r="W46" s="26" t="n">
        <v>0</v>
      </c>
      <c r="X46" s="26" t="n">
        <v>0</v>
      </c>
    </row>
    <row r="47">
      <c r="A47" s="7" t="inlineStr">
        <is>
          <t>Sinkhorn row norm</t>
        </is>
      </c>
      <c r="B47" s="7" t="inlineStr">
        <is>
          <t>max</t>
        </is>
      </c>
      <c r="C47" s="11" t="n">
        <v>513</v>
      </c>
      <c r="D47" s="11" t="n">
        <v>513</v>
      </c>
      <c r="E47" s="11" t="n">
        <v>0</v>
      </c>
      <c r="F47" s="2" t="n">
        <v>0</v>
      </c>
      <c r="G47" s="2" t="n">
        <v>0</v>
      </c>
      <c r="H47" s="2" t="n">
        <v>0</v>
      </c>
      <c r="I47" s="3" t="n">
        <v>0</v>
      </c>
      <c r="J47" s="3" t="n">
        <v>0</v>
      </c>
      <c r="K47" s="3" t="n">
        <v>0</v>
      </c>
      <c r="L47" s="13" t="n">
        <v>513</v>
      </c>
      <c r="M47" s="13" t="n">
        <v>513</v>
      </c>
      <c r="N47" s="13" t="n">
        <v>0</v>
      </c>
      <c r="O47" s="3">
        <f>C47*D47/1024</f>
        <v/>
      </c>
      <c r="P47" s="3" t="n">
        <v>0</v>
      </c>
      <c r="Q47" s="3" t="n">
        <v>0</v>
      </c>
      <c r="R47" s="3">
        <f>L47*M47/1024</f>
        <v/>
      </c>
      <c r="S47" s="3">
        <f>C47*D47/128</f>
        <v/>
      </c>
      <c r="T47" s="3">
        <f>(S47/$Y$2)/1000</f>
        <v/>
      </c>
      <c r="U47" s="26">
        <f>((O47*8*1024)/$T47)/1000</f>
        <v/>
      </c>
      <c r="V47" s="26">
        <f>((P47*8*1024)/$T47)/1000</f>
        <v/>
      </c>
      <c r="W47" s="26">
        <f>((Q47*8*1024)/$T47)/1000</f>
        <v/>
      </c>
      <c r="X47" s="26">
        <f>((R47*8*1024)/$T47)/1000</f>
        <v/>
      </c>
    </row>
    <row r="48">
      <c r="A48" s="7" t="inlineStr">
        <is>
          <t>Sinkhorn row norm</t>
        </is>
      </c>
      <c r="B48" s="7" t="inlineStr">
        <is>
          <t>exp2</t>
        </is>
      </c>
      <c r="C48" s="11" t="n">
        <v>513</v>
      </c>
      <c r="D48" s="11" t="n">
        <v>513</v>
      </c>
      <c r="E48" s="11" t="n">
        <v>0</v>
      </c>
      <c r="F48" s="2" t="n">
        <v>0</v>
      </c>
      <c r="G48" s="2" t="n">
        <v>0</v>
      </c>
      <c r="H48" s="2" t="n">
        <v>0</v>
      </c>
      <c r="I48" s="3" t="n">
        <v>0</v>
      </c>
      <c r="J48" s="3" t="n">
        <v>0</v>
      </c>
      <c r="K48" s="3" t="n">
        <v>0</v>
      </c>
      <c r="L48" s="13" t="n">
        <v>513</v>
      </c>
      <c r="M48" s="13" t="n">
        <v>513</v>
      </c>
      <c r="N48" s="13" t="n">
        <v>0</v>
      </c>
      <c r="O48" s="3">
        <f>C48*D48/1024</f>
        <v/>
      </c>
      <c r="P48" s="3" t="n">
        <v>0</v>
      </c>
      <c r="Q48" s="3" t="n">
        <v>0</v>
      </c>
      <c r="R48" s="3">
        <f>L48*M48/1024</f>
        <v/>
      </c>
      <c r="S48" s="3">
        <f>C48*D48/128</f>
        <v/>
      </c>
      <c r="T48" s="3">
        <f>(S48/$Y$2)/1000</f>
        <v/>
      </c>
      <c r="U48" s="26">
        <f>((O48*8*1024)/$T48)/1000</f>
        <v/>
      </c>
      <c r="V48" s="26">
        <f>((P48*8*1024)/$T48)/1000</f>
        <v/>
      </c>
      <c r="W48" s="26">
        <f>((Q48*8*1024)/$T48)/1000</f>
        <v/>
      </c>
      <c r="X48" s="26">
        <f>((R48*8*1024)/$T48)/1000</f>
        <v/>
      </c>
    </row>
    <row r="49">
      <c r="A49" s="7" t="inlineStr">
        <is>
          <t>Sinkhorn row norm</t>
        </is>
      </c>
      <c r="B49" s="7" t="inlineStr">
        <is>
          <t>sum</t>
        </is>
      </c>
      <c r="C49" s="11" t="n">
        <v>513</v>
      </c>
      <c r="D49" s="11" t="n">
        <v>513</v>
      </c>
      <c r="E49" s="11" t="n">
        <v>0</v>
      </c>
      <c r="F49" s="2" t="n">
        <v>0</v>
      </c>
      <c r="G49" s="2" t="n">
        <v>0</v>
      </c>
      <c r="H49" s="2" t="n">
        <v>0</v>
      </c>
      <c r="I49" s="3" t="n">
        <v>0</v>
      </c>
      <c r="J49" s="3" t="n">
        <v>0</v>
      </c>
      <c r="K49" s="3" t="n">
        <v>0</v>
      </c>
      <c r="L49" s="13" t="n">
        <v>513</v>
      </c>
      <c r="M49" s="13" t="n">
        <v>513</v>
      </c>
      <c r="N49" s="13" t="n">
        <v>0</v>
      </c>
      <c r="O49" s="3">
        <f>C49*D49/1024</f>
        <v/>
      </c>
      <c r="P49" s="3" t="n">
        <v>0</v>
      </c>
      <c r="Q49" s="3" t="n">
        <v>0</v>
      </c>
      <c r="R49" s="3">
        <f>L49*M49/1024</f>
        <v/>
      </c>
      <c r="S49" s="3">
        <f>C49*D49/128</f>
        <v/>
      </c>
      <c r="T49" s="3">
        <f>(S49/$Y$2)/1000</f>
        <v/>
      </c>
      <c r="U49" s="26">
        <f>((O49*8*1024)/$T49)/1000</f>
        <v/>
      </c>
      <c r="V49" s="26">
        <f>((P49*8*1024)/$T49)/1000</f>
        <v/>
      </c>
      <c r="W49" s="26">
        <f>((Q49*8*1024)/$T49)/1000</f>
        <v/>
      </c>
      <c r="X49" s="26">
        <f>((R49*8*1024)/$T49)/1000</f>
        <v/>
      </c>
    </row>
    <row r="50">
      <c r="A50" s="7" t="inlineStr">
        <is>
          <t>Sinkhorn row norm</t>
        </is>
      </c>
      <c r="B50" s="7" t="inlineStr">
        <is>
          <t>log</t>
        </is>
      </c>
      <c r="C50" s="11" t="n">
        <v>513</v>
      </c>
      <c r="D50" s="11" t="n">
        <v>513</v>
      </c>
      <c r="E50" s="11" t="n">
        <v>0</v>
      </c>
      <c r="F50" s="2" t="n">
        <v>0</v>
      </c>
      <c r="G50" s="2" t="n">
        <v>0</v>
      </c>
      <c r="H50" s="2" t="n">
        <v>0</v>
      </c>
      <c r="I50" s="3" t="n">
        <v>0</v>
      </c>
      <c r="J50" s="3" t="n">
        <v>0</v>
      </c>
      <c r="K50" s="3" t="n">
        <v>0</v>
      </c>
      <c r="L50" s="13" t="n">
        <v>513</v>
      </c>
      <c r="M50" s="13" t="n">
        <v>513</v>
      </c>
      <c r="N50" s="13" t="n">
        <v>0</v>
      </c>
      <c r="O50" s="3">
        <f>C50*D50/1024</f>
        <v/>
      </c>
      <c r="P50" s="3" t="n">
        <v>0</v>
      </c>
      <c r="Q50" s="3" t="n">
        <v>0</v>
      </c>
      <c r="R50" s="3">
        <f>L50*M50/1024</f>
        <v/>
      </c>
      <c r="S50" s="3">
        <f>C50*D50/128</f>
        <v/>
      </c>
      <c r="T50" s="3">
        <f>(S50/$Y$2)/1000</f>
        <v/>
      </c>
      <c r="U50" s="26">
        <f>((O50*8*1024)/$T50)/1000</f>
        <v/>
      </c>
      <c r="V50" s="26">
        <f>((P50*8*1024)/$T50)/1000</f>
        <v/>
      </c>
      <c r="W50" s="26">
        <f>((Q50*8*1024)/$T50)/1000</f>
        <v/>
      </c>
      <c r="X50" s="26">
        <f>((R50*8*1024)/$T50)/1000</f>
        <v/>
      </c>
    </row>
    <row r="51">
      <c r="A51" s="7" t="inlineStr">
        <is>
          <t>Sinkhorn row norm</t>
        </is>
      </c>
      <c r="B51" s="7" t="inlineStr">
        <is>
          <t>subtract</t>
        </is>
      </c>
      <c r="C51" s="11" t="n">
        <v>513</v>
      </c>
      <c r="D51" s="11" t="n">
        <v>513</v>
      </c>
      <c r="E51" s="11" t="n">
        <v>0</v>
      </c>
      <c r="F51" s="2" t="n">
        <v>0</v>
      </c>
      <c r="G51" s="2" t="n">
        <v>0</v>
      </c>
      <c r="H51" s="2" t="n">
        <v>0</v>
      </c>
      <c r="I51" s="3" t="n">
        <v>0</v>
      </c>
      <c r="J51" s="3" t="n">
        <v>0</v>
      </c>
      <c r="K51" s="3" t="n">
        <v>0</v>
      </c>
      <c r="L51" s="13" t="n">
        <v>513</v>
      </c>
      <c r="M51" s="13" t="n">
        <v>513</v>
      </c>
      <c r="N51" s="13" t="n">
        <v>0</v>
      </c>
      <c r="O51" s="3">
        <f>C51*D51/1024</f>
        <v/>
      </c>
      <c r="P51" s="3" t="n">
        <v>0</v>
      </c>
      <c r="Q51" s="3" t="n">
        <v>0</v>
      </c>
      <c r="R51" s="3">
        <f>L51*M51/1024</f>
        <v/>
      </c>
      <c r="S51" s="3">
        <f>C51*D51/128</f>
        <v/>
      </c>
      <c r="T51" s="3">
        <f>(S51/$Y$2)/1000</f>
        <v/>
      </c>
      <c r="U51" s="26">
        <f>((O51*8*1024)/$T51)/1000</f>
        <v/>
      </c>
      <c r="V51" s="26">
        <f>((P51*8*1024)/$T51)/1000</f>
        <v/>
      </c>
      <c r="W51" s="26">
        <f>((Q51*8*1024)/$T51)/1000</f>
        <v/>
      </c>
      <c r="X51" s="26">
        <f>((R51*8*1024)/$T51)/1000</f>
        <v/>
      </c>
    </row>
    <row r="52">
      <c r="A52" s="7" t="inlineStr">
        <is>
          <t>Sinkhorn col transpose</t>
        </is>
      </c>
      <c r="B52" s="7" t="inlineStr">
        <is>
          <t>move</t>
        </is>
      </c>
      <c r="C52" s="11" t="n">
        <v>513</v>
      </c>
      <c r="D52" s="11" t="n">
        <v>513</v>
      </c>
      <c r="E52" s="11" t="n">
        <v>0</v>
      </c>
      <c r="F52" s="2" t="n">
        <v>0</v>
      </c>
      <c r="G52" s="2" t="n">
        <v>0</v>
      </c>
      <c r="H52" s="2" t="n">
        <v>0</v>
      </c>
      <c r="I52" s="3" t="n">
        <v>0</v>
      </c>
      <c r="J52" s="3" t="n">
        <v>0</v>
      </c>
      <c r="K52" s="3" t="n">
        <v>0</v>
      </c>
      <c r="L52" s="13" t="n">
        <v>513</v>
      </c>
      <c r="M52" s="13" t="n">
        <v>513</v>
      </c>
      <c r="N52" s="13" t="n">
        <v>0</v>
      </c>
      <c r="O52" s="3">
        <f>C52*D52/1024</f>
        <v/>
      </c>
      <c r="P52" s="3" t="n">
        <v>0</v>
      </c>
      <c r="Q52" s="3" t="n">
        <v>0</v>
      </c>
      <c r="R52" s="3">
        <f>L52*M52/1024</f>
        <v/>
      </c>
      <c r="S52" s="3">
        <f>C52*D52/128</f>
        <v/>
      </c>
      <c r="T52" s="3">
        <f>(S52/$Y$2)/1000</f>
        <v/>
      </c>
      <c r="U52" s="26">
        <f>((O52*8*1024)/$T52)/1000</f>
        <v/>
      </c>
      <c r="V52" s="26">
        <f>((P52*8*1024)/$T52)/1000</f>
        <v/>
      </c>
      <c r="W52" s="26">
        <f>((Q52*8*1024)/$T52)/1000</f>
        <v/>
      </c>
      <c r="X52" s="26">
        <f>((R52*8*1024)/$T52)/1000</f>
        <v/>
      </c>
    </row>
    <row r="53">
      <c r="A53" s="7" t="inlineStr">
        <is>
          <t>Sinkhorn col norm</t>
        </is>
      </c>
      <c r="B53" s="7" t="inlineStr">
        <is>
          <t>max</t>
        </is>
      </c>
      <c r="C53" s="11" t="n">
        <v>513</v>
      </c>
      <c r="D53" s="11" t="n">
        <v>513</v>
      </c>
      <c r="E53" s="11" t="n">
        <v>0</v>
      </c>
      <c r="F53" s="2" t="n">
        <v>0</v>
      </c>
      <c r="G53" s="2" t="n">
        <v>0</v>
      </c>
      <c r="H53" s="2" t="n">
        <v>0</v>
      </c>
      <c r="I53" s="3" t="n">
        <v>0</v>
      </c>
      <c r="J53" s="3" t="n">
        <v>0</v>
      </c>
      <c r="K53" s="3" t="n">
        <v>0</v>
      </c>
      <c r="L53" s="13" t="n">
        <v>513</v>
      </c>
      <c r="M53" s="13" t="n">
        <v>513</v>
      </c>
      <c r="N53" s="13" t="n">
        <v>0</v>
      </c>
      <c r="O53" s="3">
        <f>C53*D53/1024</f>
        <v/>
      </c>
      <c r="P53" s="3" t="n">
        <v>0</v>
      </c>
      <c r="Q53" s="3" t="n">
        <v>0</v>
      </c>
      <c r="R53" s="3">
        <f>L53*M53/1024</f>
        <v/>
      </c>
      <c r="S53" s="3">
        <f>C53*D53/128</f>
        <v/>
      </c>
      <c r="T53" s="3">
        <f>(S53/$Y$2)/1000</f>
        <v/>
      </c>
      <c r="U53" s="26">
        <f>((O53*8*1024)/$T53)/1000</f>
        <v/>
      </c>
      <c r="V53" s="26">
        <f>((P53*8*1024)/$T53)/1000</f>
        <v/>
      </c>
      <c r="W53" s="26">
        <f>((Q53*8*1024)/$T53)/1000</f>
        <v/>
      </c>
      <c r="X53" s="26">
        <f>((R53*8*1024)/$T53)/1000</f>
        <v/>
      </c>
    </row>
    <row r="54">
      <c r="A54" s="7" t="inlineStr">
        <is>
          <t>Sinkhorn col norm</t>
        </is>
      </c>
      <c r="B54" s="7" t="inlineStr">
        <is>
          <t>exp2</t>
        </is>
      </c>
      <c r="C54" s="11" t="n">
        <v>513</v>
      </c>
      <c r="D54" s="11" t="n">
        <v>513</v>
      </c>
      <c r="E54" s="11" t="n">
        <v>0</v>
      </c>
      <c r="F54" s="2" t="n">
        <v>0</v>
      </c>
      <c r="G54" s="2" t="n">
        <v>0</v>
      </c>
      <c r="H54" s="2" t="n">
        <v>0</v>
      </c>
      <c r="I54" s="3" t="n">
        <v>0</v>
      </c>
      <c r="J54" s="3" t="n">
        <v>0</v>
      </c>
      <c r="K54" s="3" t="n">
        <v>0</v>
      </c>
      <c r="L54" s="13" t="n">
        <v>513</v>
      </c>
      <c r="M54" s="13" t="n">
        <v>513</v>
      </c>
      <c r="N54" s="13" t="n">
        <v>0</v>
      </c>
      <c r="O54" s="3">
        <f>C54*D54/1024</f>
        <v/>
      </c>
      <c r="P54" s="3" t="n">
        <v>0</v>
      </c>
      <c r="Q54" s="3" t="n">
        <v>0</v>
      </c>
      <c r="R54" s="3">
        <f>L54*M54/1024</f>
        <v/>
      </c>
      <c r="S54" s="3">
        <f>C54*D54/128</f>
        <v/>
      </c>
      <c r="T54" s="3">
        <f>(S54/$Y$2)/1000</f>
        <v/>
      </c>
      <c r="U54" s="26">
        <f>((O54*8*1024)/$T54)/1000</f>
        <v/>
      </c>
      <c r="V54" s="26">
        <f>((P54*8*1024)/$T54)/1000</f>
        <v/>
      </c>
      <c r="W54" s="26">
        <f>((Q54*8*1024)/$T54)/1000</f>
        <v/>
      </c>
      <c r="X54" s="26">
        <f>((R54*8*1024)/$T54)/1000</f>
        <v/>
      </c>
    </row>
    <row r="55">
      <c r="A55" s="7" t="inlineStr">
        <is>
          <t>Sinkhorn col norm</t>
        </is>
      </c>
      <c r="B55" s="7" t="inlineStr">
        <is>
          <t>sum</t>
        </is>
      </c>
      <c r="C55" s="11" t="n">
        <v>513</v>
      </c>
      <c r="D55" s="11" t="n">
        <v>513</v>
      </c>
      <c r="E55" s="11" t="n">
        <v>0</v>
      </c>
      <c r="F55" s="2" t="n">
        <v>0</v>
      </c>
      <c r="G55" s="2" t="n">
        <v>0</v>
      </c>
      <c r="H55" s="2" t="n">
        <v>0</v>
      </c>
      <c r="I55" s="3" t="n">
        <v>0</v>
      </c>
      <c r="J55" s="3" t="n">
        <v>0</v>
      </c>
      <c r="K55" s="3" t="n">
        <v>0</v>
      </c>
      <c r="L55" s="13" t="n">
        <v>513</v>
      </c>
      <c r="M55" s="13" t="n">
        <v>513</v>
      </c>
      <c r="N55" s="13" t="n">
        <v>0</v>
      </c>
      <c r="O55" s="3">
        <f>C55*D55/1024</f>
        <v/>
      </c>
      <c r="P55" s="3" t="n">
        <v>0</v>
      </c>
      <c r="Q55" s="3" t="n">
        <v>0</v>
      </c>
      <c r="R55" s="3">
        <f>L55*M55/1024</f>
        <v/>
      </c>
      <c r="S55" s="3">
        <f>C55*D55/128</f>
        <v/>
      </c>
      <c r="T55" s="3">
        <f>(S55/$Y$2)/1000</f>
        <v/>
      </c>
      <c r="U55" s="26">
        <f>((O55*8*1024)/$T55)/1000</f>
        <v/>
      </c>
      <c r="V55" s="26">
        <f>((P55*8*1024)/$T55)/1000</f>
        <v/>
      </c>
      <c r="W55" s="26">
        <f>((Q55*8*1024)/$T55)/1000</f>
        <v/>
      </c>
      <c r="X55" s="26">
        <f>((R55*8*1024)/$T55)/1000</f>
        <v/>
      </c>
    </row>
    <row r="56">
      <c r="A56" s="7" t="inlineStr">
        <is>
          <t>Sinkhorn col norm</t>
        </is>
      </c>
      <c r="B56" s="7" t="inlineStr">
        <is>
          <t>log</t>
        </is>
      </c>
      <c r="C56" s="11" t="n">
        <v>513</v>
      </c>
      <c r="D56" s="11" t="n">
        <v>513</v>
      </c>
      <c r="E56" s="11" t="n">
        <v>0</v>
      </c>
      <c r="F56" s="2" t="n">
        <v>0</v>
      </c>
      <c r="G56" s="2" t="n">
        <v>0</v>
      </c>
      <c r="H56" s="2" t="n">
        <v>0</v>
      </c>
      <c r="I56" s="3" t="n">
        <v>0</v>
      </c>
      <c r="J56" s="3" t="n">
        <v>0</v>
      </c>
      <c r="K56" s="3" t="n">
        <v>0</v>
      </c>
      <c r="L56" s="13" t="n">
        <v>513</v>
      </c>
      <c r="M56" s="13" t="n">
        <v>513</v>
      </c>
      <c r="N56" s="13" t="n">
        <v>0</v>
      </c>
      <c r="O56" s="3">
        <f>C56*D56/1024</f>
        <v/>
      </c>
      <c r="P56" s="3" t="n">
        <v>0</v>
      </c>
      <c r="Q56" s="3" t="n">
        <v>0</v>
      </c>
      <c r="R56" s="3">
        <f>L56*M56/1024</f>
        <v/>
      </c>
      <c r="S56" s="3">
        <f>C56*D56/128</f>
        <v/>
      </c>
      <c r="T56" s="3">
        <f>(S56/$Y$2)/1000</f>
        <v/>
      </c>
      <c r="U56" s="26">
        <f>((O56*8*1024)/$T56)/1000</f>
        <v/>
      </c>
      <c r="V56" s="26">
        <f>((P56*8*1024)/$T56)/1000</f>
        <v/>
      </c>
      <c r="W56" s="26">
        <f>((Q56*8*1024)/$T56)/1000</f>
        <v/>
      </c>
      <c r="X56" s="26">
        <f>((R56*8*1024)/$T56)/1000</f>
        <v/>
      </c>
    </row>
    <row r="57">
      <c r="A57" s="7" t="inlineStr">
        <is>
          <t>Sinkhorn col norm</t>
        </is>
      </c>
      <c r="B57" s="7" t="inlineStr">
        <is>
          <t>subtract</t>
        </is>
      </c>
      <c r="C57" s="11" t="n">
        <v>513</v>
      </c>
      <c r="D57" s="11" t="n">
        <v>513</v>
      </c>
      <c r="E57" s="11" t="n">
        <v>0</v>
      </c>
      <c r="F57" s="2" t="n">
        <v>0</v>
      </c>
      <c r="G57" s="2" t="n">
        <v>0</v>
      </c>
      <c r="H57" s="2" t="n">
        <v>0</v>
      </c>
      <c r="I57" s="3" t="n">
        <v>0</v>
      </c>
      <c r="J57" s="3" t="n">
        <v>0</v>
      </c>
      <c r="K57" s="3" t="n">
        <v>0</v>
      </c>
      <c r="L57" s="13" t="n">
        <v>513</v>
      </c>
      <c r="M57" s="13" t="n">
        <v>513</v>
      </c>
      <c r="N57" s="13" t="n">
        <v>0</v>
      </c>
      <c r="O57" s="3">
        <f>C57*D57/1024</f>
        <v/>
      </c>
      <c r="P57" s="3" t="n">
        <v>0</v>
      </c>
      <c r="Q57" s="3" t="n">
        <v>0</v>
      </c>
      <c r="R57" s="3">
        <f>L57*M57/1024</f>
        <v/>
      </c>
      <c r="S57" s="3">
        <f>C57*D57/128</f>
        <v/>
      </c>
      <c r="T57" s="3">
        <f>(S57/$Y$2)/1000</f>
        <v/>
      </c>
      <c r="U57" s="26">
        <f>((O57*8*1024)/$T57)/1000</f>
        <v/>
      </c>
      <c r="V57" s="26">
        <f>((P57*8*1024)/$T57)/1000</f>
        <v/>
      </c>
      <c r="W57" s="26">
        <f>((Q57*8*1024)/$T57)/1000</f>
        <v/>
      </c>
      <c r="X57" s="26">
        <f>((R57*8*1024)/$T57)/1000</f>
        <v/>
      </c>
      <c r="Y57" s="17" t="inlineStr">
        <is>
          <t>Sinkhorn total (x100) [us] -&gt;</t>
        </is>
      </c>
      <c r="Z57" s="17">
        <f>100*(SUM(T47:T57))</f>
        <v/>
      </c>
    </row>
    <row r="58">
      <c r="A58" s="7" t="inlineStr">
        <is>
          <t>match readout (dual-softmax)</t>
        </is>
      </c>
      <c r="B58" s="7" t="inlineStr">
        <is>
          <t>max</t>
        </is>
      </c>
      <c r="C58" s="11" t="n">
        <v>513</v>
      </c>
      <c r="D58" s="11" t="n">
        <v>513</v>
      </c>
      <c r="E58" s="11" t="n">
        <v>0</v>
      </c>
      <c r="F58" s="2" t="n">
        <v>0</v>
      </c>
      <c r="G58" s="2" t="n">
        <v>0</v>
      </c>
      <c r="H58" s="2" t="n">
        <v>0</v>
      </c>
      <c r="I58" s="3" t="n">
        <v>0</v>
      </c>
      <c r="J58" s="3" t="n">
        <v>0</v>
      </c>
      <c r="K58" s="3" t="n">
        <v>0</v>
      </c>
      <c r="L58" s="13" t="n">
        <v>513</v>
      </c>
      <c r="M58" s="13" t="n">
        <v>513</v>
      </c>
      <c r="N58" s="13" t="n">
        <v>0</v>
      </c>
      <c r="O58" s="3">
        <f>C58*D58/1024</f>
        <v/>
      </c>
      <c r="P58" s="3" t="n">
        <v>0</v>
      </c>
      <c r="Q58" s="3" t="n">
        <v>0</v>
      </c>
      <c r="R58" s="3">
        <f>L58*M58/1024</f>
        <v/>
      </c>
      <c r="S58" s="3">
        <f>C58*D58/128</f>
        <v/>
      </c>
      <c r="T58" s="3">
        <f>(S58/$Y$2)/1000</f>
        <v/>
      </c>
      <c r="U58" s="26">
        <f>((O58*8*1024)/$T58)/1000</f>
        <v/>
      </c>
      <c r="V58" s="26">
        <f>((P58*8*1024)/$T58)/1000</f>
        <v/>
      </c>
      <c r="W58" s="26">
        <f>((Q58*8*1024)/$T58)/1000</f>
        <v/>
      </c>
      <c r="X58" s="26">
        <f>((R58*8*1024)/$T58)/1000</f>
        <v/>
      </c>
    </row>
    <row r="59">
      <c r="A59" s="7" t="inlineStr">
        <is>
          <t>match readout (dual-softmax)</t>
        </is>
      </c>
      <c r="B59" s="7" t="inlineStr">
        <is>
          <t>exp2</t>
        </is>
      </c>
      <c r="C59" s="11" t="n">
        <v>513</v>
      </c>
      <c r="D59" s="11" t="n">
        <v>513</v>
      </c>
      <c r="E59" s="11" t="n">
        <v>0</v>
      </c>
      <c r="F59" s="2" t="n">
        <v>0</v>
      </c>
      <c r="G59" s="2" t="n">
        <v>0</v>
      </c>
      <c r="H59" s="2" t="n">
        <v>0</v>
      </c>
      <c r="I59" s="3" t="n">
        <v>0</v>
      </c>
      <c r="J59" s="3" t="n">
        <v>0</v>
      </c>
      <c r="K59" s="3" t="n">
        <v>0</v>
      </c>
      <c r="L59" s="13" t="n">
        <v>513</v>
      </c>
      <c r="M59" s="13" t="n">
        <v>513</v>
      </c>
      <c r="N59" s="13" t="n">
        <v>0</v>
      </c>
      <c r="O59" s="3">
        <f>C59*D59/1024</f>
        <v/>
      </c>
      <c r="P59" s="3" t="n">
        <v>0</v>
      </c>
      <c r="Q59" s="3" t="n">
        <v>0</v>
      </c>
      <c r="R59" s="3">
        <f>L59*M59/1024</f>
        <v/>
      </c>
      <c r="S59" s="3">
        <f>C59*D59/128</f>
        <v/>
      </c>
      <c r="T59" s="3">
        <f>(S59/$Y$2)/1000</f>
        <v/>
      </c>
      <c r="U59" s="26">
        <f>((O59*8*1024)/$T59)/1000</f>
        <v/>
      </c>
      <c r="V59" s="26">
        <f>((P59*8*1024)/$T59)/1000</f>
        <v/>
      </c>
      <c r="W59" s="26">
        <f>((Q59*8*1024)/$T59)/1000</f>
        <v/>
      </c>
      <c r="X59" s="26">
        <f>((R59*8*1024)/$T59)/1000</f>
        <v/>
      </c>
    </row>
    <row r="60">
      <c r="A60" s="7" t="inlineStr">
        <is>
          <t>match readout (dual-softmax)</t>
        </is>
      </c>
      <c r="B60" s="7" t="inlineStr">
        <is>
          <t>sum</t>
        </is>
      </c>
      <c r="C60" s="11" t="n">
        <v>513</v>
      </c>
      <c r="D60" s="11" t="n">
        <v>513</v>
      </c>
      <c r="E60" s="11" t="n">
        <v>0</v>
      </c>
      <c r="F60" s="2" t="n">
        <v>0</v>
      </c>
      <c r="G60" s="2" t="n">
        <v>0</v>
      </c>
      <c r="H60" s="2" t="n">
        <v>0</v>
      </c>
      <c r="I60" s="3" t="n">
        <v>0</v>
      </c>
      <c r="J60" s="3" t="n">
        <v>0</v>
      </c>
      <c r="K60" s="3" t="n">
        <v>0</v>
      </c>
      <c r="L60" s="13" t="n">
        <v>513</v>
      </c>
      <c r="M60" s="13" t="n">
        <v>513</v>
      </c>
      <c r="N60" s="13" t="n">
        <v>0</v>
      </c>
      <c r="O60" s="3">
        <f>C60*D60/1024</f>
        <v/>
      </c>
      <c r="P60" s="3" t="n">
        <v>0</v>
      </c>
      <c r="Q60" s="3" t="n">
        <v>0</v>
      </c>
      <c r="R60" s="3">
        <f>L60*M60/1024</f>
        <v/>
      </c>
      <c r="S60" s="3">
        <f>C60*D60/128</f>
        <v/>
      </c>
      <c r="T60" s="3">
        <f>(S60/$Y$2)/1000</f>
        <v/>
      </c>
      <c r="U60" s="26">
        <f>((O60*8*1024)/$T60)/1000</f>
        <v/>
      </c>
      <c r="V60" s="26">
        <f>((P60*8*1024)/$T60)/1000</f>
        <v/>
      </c>
      <c r="W60" s="26">
        <f>((Q60*8*1024)/$T60)/1000</f>
        <v/>
      </c>
      <c r="X60" s="26">
        <f>((R60*8*1024)/$T60)/1000</f>
        <v/>
      </c>
    </row>
    <row r="61">
      <c r="A61" s="7" t="inlineStr">
        <is>
          <t>match readout (dual-softmax)</t>
        </is>
      </c>
      <c r="B61" s="7" t="inlineStr">
        <is>
          <t>subtract</t>
        </is>
      </c>
      <c r="C61" s="11" t="n">
        <v>513</v>
      </c>
      <c r="D61" s="11" t="n">
        <v>513</v>
      </c>
      <c r="E61" s="11" t="n">
        <v>0</v>
      </c>
      <c r="F61" s="2" t="n">
        <v>0</v>
      </c>
      <c r="G61" s="2" t="n">
        <v>0</v>
      </c>
      <c r="H61" s="2" t="n">
        <v>0</v>
      </c>
      <c r="I61" s="3" t="n">
        <v>0</v>
      </c>
      <c r="J61" s="3" t="n">
        <v>0</v>
      </c>
      <c r="K61" s="3" t="n">
        <v>0</v>
      </c>
      <c r="L61" s="13" t="n">
        <v>513</v>
      </c>
      <c r="M61" s="13" t="n">
        <v>513</v>
      </c>
      <c r="N61" s="13" t="n">
        <v>0</v>
      </c>
      <c r="O61" s="3">
        <f>C61*D61/1024</f>
        <v/>
      </c>
      <c r="P61" s="3" t="n">
        <v>0</v>
      </c>
      <c r="Q61" s="3" t="n">
        <v>0</v>
      </c>
      <c r="R61" s="3">
        <f>L61*M61/1024</f>
        <v/>
      </c>
      <c r="S61" s="3">
        <f>C61*D61/128</f>
        <v/>
      </c>
      <c r="T61" s="3">
        <f>(S61/$Y$2)/1000</f>
        <v/>
      </c>
      <c r="U61" s="26">
        <f>((O61*8*1024)/$T61)/1000</f>
        <v/>
      </c>
      <c r="V61" s="26">
        <f>((P61*8*1024)/$T61)/1000</f>
        <v/>
      </c>
      <c r="W61" s="26">
        <f>((Q61*8*1024)/$T61)/1000</f>
        <v/>
      </c>
      <c r="X61" s="26">
        <f>((R61*8*1024)/$T61)/1000</f>
        <v/>
      </c>
    </row>
    <row r="62">
      <c r="A62" s="7" t="inlineStr">
        <is>
          <t>match readout (dual-softmax)</t>
        </is>
      </c>
      <c r="B62" s="7" t="inlineStr">
        <is>
          <t>multiply</t>
        </is>
      </c>
      <c r="C62" s="11" t="n">
        <v>513</v>
      </c>
      <c r="D62" s="11" t="n">
        <v>513</v>
      </c>
      <c r="E62" s="11" t="n">
        <v>0</v>
      </c>
      <c r="F62" s="2" t="n">
        <v>0</v>
      </c>
      <c r="G62" s="2" t="n">
        <v>0</v>
      </c>
      <c r="H62" s="2" t="n">
        <v>0</v>
      </c>
      <c r="I62" s="3" t="n">
        <v>0</v>
      </c>
      <c r="J62" s="3" t="n">
        <v>0</v>
      </c>
      <c r="K62" s="3" t="n">
        <v>0</v>
      </c>
      <c r="L62" s="13" t="n">
        <v>513</v>
      </c>
      <c r="M62" s="13" t="n">
        <v>513</v>
      </c>
      <c r="N62" s="13" t="n">
        <v>0</v>
      </c>
      <c r="O62" s="3">
        <f>C62*D62/1024</f>
        <v/>
      </c>
      <c r="P62" s="3" t="n">
        <v>0</v>
      </c>
      <c r="Q62" s="3" t="n">
        <v>0</v>
      </c>
      <c r="R62" s="3">
        <f>L62*M62/1024</f>
        <v/>
      </c>
      <c r="S62" s="3">
        <f>C62*D62/128</f>
        <v/>
      </c>
      <c r="T62" s="3">
        <f>(S62/$Y$2)/1000</f>
        <v/>
      </c>
      <c r="U62" s="26">
        <f>((O62*8*1024)/$T62)/1000</f>
        <v/>
      </c>
      <c r="V62" s="26">
        <f>((P62*8*1024)/$T62)/1000</f>
        <v/>
      </c>
      <c r="W62" s="26">
        <f>((Q62*8*1024)/$T62)/1000</f>
        <v/>
      </c>
      <c r="X62" s="26">
        <f>((R62*8*1024)/$T62)/1000</f>
        <v/>
      </c>
    </row>
    <row r="64">
      <c r="A64" s="7" t="inlineStr">
        <is>
          <t>GRAND TOTAL [us]</t>
        </is>
      </c>
      <c r="Y64" s="17" t="inlineStr">
        <is>
          <t>variant: base2_softmax</t>
        </is>
      </c>
      <c r="Z64" s="17">
        <f>Z11+Z40+2*(SUM(T41:T42))+SUM(T43:T44)+T45+Z57+SUM(T58:T62)</f>
        <v/>
      </c>
    </row>
    <row r="65">
      <c r="A65" s="7" t="inlineStr">
        <is>
          <t>FPS (image pair)</t>
        </is>
      </c>
      <c r="Y65" s="17" t="inlineStr">
        <is>
          <t>frames / sec -&gt;</t>
        </is>
      </c>
      <c r="Z65" s="17">
        <f>1000000/Z64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.109375" customWidth="1" min="1" max="1"/>
    <col width="20.44140625" customWidth="1" min="2" max="2"/>
    <col width="4.109375" customWidth="1" min="3" max="3"/>
    <col width="13" customWidth="1" min="4" max="4"/>
    <col width="6.109375" customWidth="1" min="5" max="5"/>
    <col width="11.6640625" customWidth="1" min="6" max="6"/>
    <col width="5.44140625" customWidth="1" min="7" max="7"/>
    <col width="6.109375" customWidth="1" min="8" max="8"/>
    <col width="9.109375" customWidth="1" min="9" max="9"/>
    <col width="13" customWidth="1" min="10" max="10"/>
    <col width="13" customWidth="1" min="11" max="11"/>
    <col width="5.44140625" customWidth="1" min="12" max="12"/>
    <col width="13" customWidth="1" min="13" max="13"/>
    <col width="6.109375" customWidth="1" min="14" max="14"/>
    <col width="17.5546875" customWidth="1" min="15" max="15"/>
    <col width="13" customWidth="1" min="16" max="16"/>
    <col width="17.5546875" customWidth="1" min="17" max="17"/>
    <col width="17.77734375" customWidth="1" min="18" max="18"/>
    <col width="9.77734375" customWidth="1" min="19" max="19"/>
    <col width="11.21875" customWidth="1" min="20" max="20"/>
    <col width="10.88671875" customWidth="1" min="21" max="21"/>
    <col width="13" customWidth="1" min="22" max="22"/>
    <col width="10.5546875" customWidth="1" min="23" max="23"/>
    <col width="12.77734375" customWidth="1" min="24" max="24"/>
    <col width="30.33203125" customWidth="1" min="25" max="25"/>
    <col width="12.77734375" customWidth="1" min="26" max="26"/>
  </cols>
  <sheetData>
    <row r="1">
      <c r="A1" s="7" t="inlineStr">
        <is>
          <t>Layer</t>
        </is>
      </c>
      <c r="B1" s="7" t="inlineStr">
        <is>
          <t>Type</t>
        </is>
      </c>
      <c r="C1" s="10" t="inlineStr">
        <is>
          <t>H</t>
        </is>
      </c>
      <c r="D1" s="10" t="inlineStr">
        <is>
          <t>W</t>
        </is>
      </c>
      <c r="E1" s="10" t="inlineStr">
        <is>
          <t>Cin</t>
        </is>
      </c>
      <c r="F1" s="1" t="inlineStr">
        <is>
          <t>Filter/Weight</t>
        </is>
      </c>
      <c r="G1" s="1" t="inlineStr">
        <is>
          <t>Cin</t>
        </is>
      </c>
      <c r="H1" s="1" t="inlineStr">
        <is>
          <t>Cout</t>
        </is>
      </c>
      <c r="I1" s="4" t="inlineStr">
        <is>
          <t>BN</t>
        </is>
      </c>
      <c r="J1" s="4" t="inlineStr">
        <is>
          <t>D</t>
        </is>
      </c>
      <c r="K1" s="4" t="inlineStr">
        <is>
          <t>None</t>
        </is>
      </c>
      <c r="L1" s="14" t="inlineStr">
        <is>
          <t>H</t>
        </is>
      </c>
      <c r="M1" s="14" t="inlineStr">
        <is>
          <t>W</t>
        </is>
      </c>
      <c r="N1" s="14" t="inlineStr">
        <is>
          <t>Cin</t>
        </is>
      </c>
      <c r="O1" s="4" t="inlineStr">
        <is>
          <t>Input 1 Memory(kB)</t>
        </is>
      </c>
      <c r="P1" s="4" t="inlineStr">
        <is>
          <t>Input 2 Memory(kB)</t>
        </is>
      </c>
      <c r="Q1" s="4" t="inlineStr">
        <is>
          <t>Input 3 Memory(kB)</t>
        </is>
      </c>
      <c r="R1" s="4" t="inlineStr">
        <is>
          <t>Output Memory(kB)</t>
        </is>
      </c>
      <c r="S1" s="4" t="inlineStr">
        <is>
          <t xml:space="preserve">Cycles </t>
        </is>
      </c>
      <c r="T1" s="4" t="inlineStr">
        <is>
          <t>Time[us]</t>
        </is>
      </c>
      <c r="U1" s="4" t="inlineStr">
        <is>
          <t>BW 1(Gbps)</t>
        </is>
      </c>
      <c r="V1" s="4" t="inlineStr">
        <is>
          <t>BW 2(Gbps)</t>
        </is>
      </c>
      <c r="W1" s="4" t="inlineStr">
        <is>
          <t>BW 3(Gbps)</t>
        </is>
      </c>
      <c r="X1" s="4" t="inlineStr">
        <is>
          <t>BW Out(Gbps)</t>
        </is>
      </c>
      <c r="Y1" s="19" t="inlineStr">
        <is>
          <t>freq Ghz</t>
        </is>
      </c>
      <c r="Z1" s="16" t="inlineStr">
        <is>
          <t>Mem BW Gbps</t>
        </is>
      </c>
    </row>
    <row r="2">
      <c r="A2" s="7" t="inlineStr">
        <is>
          <t>Input</t>
        </is>
      </c>
      <c r="B2" s="7" t="inlineStr">
        <is>
          <t>kpt+desc load</t>
        </is>
      </c>
      <c r="C2" s="11" t="n">
        <v>256</v>
      </c>
      <c r="D2" s="11" t="n">
        <v>512</v>
      </c>
      <c r="E2" s="11" t="n">
        <v>0</v>
      </c>
      <c r="F2" s="2" t="n">
        <v>0</v>
      </c>
      <c r="G2" s="2" t="n">
        <v>0</v>
      </c>
      <c r="H2" s="2" t="n">
        <v>0</v>
      </c>
      <c r="I2" s="3" t="n">
        <v>0</v>
      </c>
      <c r="J2" s="3" t="n">
        <v>0</v>
      </c>
      <c r="K2" s="3" t="n">
        <v>0</v>
      </c>
      <c r="L2" s="13" t="n">
        <v>256</v>
      </c>
      <c r="M2" s="13" t="n">
        <v>512</v>
      </c>
      <c r="N2" s="13" t="n">
        <v>0</v>
      </c>
      <c r="O2" s="3">
        <f>C2*D2/1024</f>
        <v/>
      </c>
      <c r="P2" s="3" t="n">
        <v>0</v>
      </c>
      <c r="Q2" s="3" t="n">
        <v>0</v>
      </c>
      <c r="R2" s="3">
        <f>L2*M2/1024</f>
        <v/>
      </c>
      <c r="S2" s="3" t="inlineStr">
        <is>
          <t>0</t>
        </is>
      </c>
      <c r="T2" s="3" t="n">
        <v>0</v>
      </c>
      <c r="U2" s="26" t="n">
        <v>0</v>
      </c>
      <c r="V2" s="26" t="n">
        <v>0</v>
      </c>
      <c r="W2" s="26" t="n">
        <v>0</v>
      </c>
      <c r="X2" s="26" t="n">
        <v>0</v>
      </c>
      <c r="Y2" t="n">
        <v>1</v>
      </c>
      <c r="Z2" t="n">
        <v>8</v>
      </c>
    </row>
    <row r="3">
      <c r="A3" s="7" t="inlineStr">
        <is>
          <t>KptEnc 3-&gt;32</t>
        </is>
      </c>
      <c r="B3" s="7" t="inlineStr">
        <is>
          <t>multiply</t>
        </is>
      </c>
      <c r="C3" s="11" t="n">
        <v>32</v>
      </c>
      <c r="D3" s="11" t="n">
        <v>512</v>
      </c>
      <c r="E3" s="11" t="n">
        <v>0</v>
      </c>
      <c r="F3" s="2" t="n">
        <v>0</v>
      </c>
      <c r="G3" s="2" t="n">
        <v>3</v>
      </c>
      <c r="H3" s="2" t="n">
        <v>0</v>
      </c>
      <c r="I3" s="3" t="n">
        <v>0</v>
      </c>
      <c r="J3" s="3" t="n">
        <v>0</v>
      </c>
      <c r="K3" s="3" t="n">
        <v>0</v>
      </c>
      <c r="L3" s="13" t="n">
        <v>32</v>
      </c>
      <c r="M3" s="13" t="n">
        <v>512</v>
      </c>
      <c r="N3" s="13" t="n">
        <v>0</v>
      </c>
      <c r="O3" s="3">
        <f>C3*D3/1024</f>
        <v/>
      </c>
      <c r="P3" s="3" t="n">
        <v>0</v>
      </c>
      <c r="Q3" s="3" t="n">
        <v>0</v>
      </c>
      <c r="R3" s="3">
        <f>L3*M3/1024</f>
        <v/>
      </c>
      <c r="S3" s="3">
        <f>C3*D3*G3/128</f>
        <v/>
      </c>
      <c r="T3" s="3">
        <f>(S3/$Y$2)/1000</f>
        <v/>
      </c>
      <c r="U3" s="26">
        <f>((O3*8*1024)/$T3)/1000</f>
        <v/>
      </c>
      <c r="V3" s="26">
        <f>((P3*8*1024)/$T3)/1000</f>
        <v/>
      </c>
      <c r="W3" s="26">
        <f>((Q3*8*1024)/$T3)/1000</f>
        <v/>
      </c>
      <c r="X3" s="26">
        <f>((R3*8*1024)/$T3)/1000</f>
        <v/>
      </c>
    </row>
    <row r="4">
      <c r="A4" s="7" t="inlineStr">
        <is>
          <t>KptEnc 3-&gt;32</t>
        </is>
      </c>
      <c r="B4" s="7" t="inlineStr">
        <is>
          <t>accumulate</t>
        </is>
      </c>
      <c r="C4" s="11" t="n">
        <v>32</v>
      </c>
      <c r="D4" s="11" t="n">
        <v>512</v>
      </c>
      <c r="E4" s="11" t="n">
        <v>0</v>
      </c>
      <c r="F4" s="2" t="n">
        <v>0</v>
      </c>
      <c r="G4" s="2" t="n">
        <v>3</v>
      </c>
      <c r="H4" s="2" t="n">
        <v>0</v>
      </c>
      <c r="I4" s="3" t="n">
        <v>0</v>
      </c>
      <c r="J4" s="3" t="n">
        <v>0</v>
      </c>
      <c r="K4" s="3" t="n">
        <v>0</v>
      </c>
      <c r="L4" s="13" t="n">
        <v>32</v>
      </c>
      <c r="M4" s="13" t="n">
        <v>512</v>
      </c>
      <c r="N4" s="13" t="n">
        <v>0</v>
      </c>
      <c r="O4" s="3">
        <f>C4*D4/1024</f>
        <v/>
      </c>
      <c r="P4" s="3" t="n">
        <v>0</v>
      </c>
      <c r="Q4" s="3" t="n">
        <v>0</v>
      </c>
      <c r="R4" s="3">
        <f>L4*M4/1024</f>
        <v/>
      </c>
      <c r="S4" s="3">
        <f>C4*D4*G4/128</f>
        <v/>
      </c>
      <c r="T4" s="3">
        <f>(S4/$Y$2)/1000</f>
        <v/>
      </c>
      <c r="U4" s="26">
        <f>((O4*8*1024)/$T4)/1000</f>
        <v/>
      </c>
      <c r="V4" s="26">
        <f>((P4*8*1024)/$T4)/1000</f>
        <v/>
      </c>
      <c r="W4" s="26">
        <f>((Q4*8*1024)/$T4)/1000</f>
        <v/>
      </c>
      <c r="X4" s="26">
        <f>((R4*8*1024)/$T4)/1000</f>
        <v/>
      </c>
    </row>
    <row r="5">
      <c r="A5" s="7" t="inlineStr">
        <is>
          <t>KptEnc 32-&gt;64</t>
        </is>
      </c>
      <c r="B5" s="7" t="inlineStr">
        <is>
          <t>multiply</t>
        </is>
      </c>
      <c r="C5" s="11" t="n">
        <v>64</v>
      </c>
      <c r="D5" s="11" t="n">
        <v>512</v>
      </c>
      <c r="E5" s="11" t="n">
        <v>0</v>
      </c>
      <c r="F5" s="2" t="n">
        <v>0</v>
      </c>
      <c r="G5" s="2" t="n">
        <v>32</v>
      </c>
      <c r="H5" s="2" t="n">
        <v>0</v>
      </c>
      <c r="I5" s="3" t="n">
        <v>0</v>
      </c>
      <c r="J5" s="3" t="n">
        <v>0</v>
      </c>
      <c r="K5" s="3" t="n">
        <v>0</v>
      </c>
      <c r="L5" s="13" t="n">
        <v>64</v>
      </c>
      <c r="M5" s="13" t="n">
        <v>512</v>
      </c>
      <c r="N5" s="13" t="n">
        <v>0</v>
      </c>
      <c r="O5" s="3">
        <f>C5*D5/1024</f>
        <v/>
      </c>
      <c r="P5" s="3" t="n">
        <v>0</v>
      </c>
      <c r="Q5" s="3" t="n">
        <v>0</v>
      </c>
      <c r="R5" s="3">
        <f>L5*M5/1024</f>
        <v/>
      </c>
      <c r="S5" s="3">
        <f>C5*D5*G5/128</f>
        <v/>
      </c>
      <c r="T5" s="3">
        <f>(S5/$Y$2)/1000</f>
        <v/>
      </c>
      <c r="U5" s="26">
        <f>((O5*8*1024)/$T5)/1000</f>
        <v/>
      </c>
      <c r="V5" s="26">
        <f>((P5*8*1024)/$T5)/1000</f>
        <v/>
      </c>
      <c r="W5" s="26">
        <f>((Q5*8*1024)/$T5)/1000</f>
        <v/>
      </c>
      <c r="X5" s="26">
        <f>((R5*8*1024)/$T5)/1000</f>
        <v/>
      </c>
    </row>
    <row r="6">
      <c r="A6" s="7" t="inlineStr">
        <is>
          <t>KptEnc 32-&gt;64</t>
        </is>
      </c>
      <c r="B6" s="7" t="inlineStr">
        <is>
          <t>accumulate</t>
        </is>
      </c>
      <c r="C6" s="11" t="n">
        <v>64</v>
      </c>
      <c r="D6" s="11" t="n">
        <v>512</v>
      </c>
      <c r="E6" s="11" t="n">
        <v>0</v>
      </c>
      <c r="F6" s="2" t="n">
        <v>0</v>
      </c>
      <c r="G6" s="2" t="n">
        <v>32</v>
      </c>
      <c r="H6" s="2" t="n">
        <v>0</v>
      </c>
      <c r="I6" s="3" t="n">
        <v>0</v>
      </c>
      <c r="J6" s="3" t="n">
        <v>0</v>
      </c>
      <c r="K6" s="3" t="n">
        <v>0</v>
      </c>
      <c r="L6" s="13" t="n">
        <v>64</v>
      </c>
      <c r="M6" s="13" t="n">
        <v>512</v>
      </c>
      <c r="N6" s="13" t="n">
        <v>0</v>
      </c>
      <c r="O6" s="3">
        <f>C6*D6/1024</f>
        <v/>
      </c>
      <c r="P6" s="3" t="n">
        <v>0</v>
      </c>
      <c r="Q6" s="3" t="n">
        <v>0</v>
      </c>
      <c r="R6" s="3">
        <f>L6*M6/1024</f>
        <v/>
      </c>
      <c r="S6" s="3">
        <f>C6*D6*G6/128</f>
        <v/>
      </c>
      <c r="T6" s="3">
        <f>(S6/$Y$2)/1000</f>
        <v/>
      </c>
      <c r="U6" s="26">
        <f>((O6*8*1024)/$T6)/1000</f>
        <v/>
      </c>
      <c r="V6" s="26">
        <f>((P6*8*1024)/$T6)/1000</f>
        <v/>
      </c>
      <c r="W6" s="26">
        <f>((Q6*8*1024)/$T6)/1000</f>
        <v/>
      </c>
      <c r="X6" s="26">
        <f>((R6*8*1024)/$T6)/1000</f>
        <v/>
      </c>
    </row>
    <row r="7">
      <c r="A7" s="7" t="inlineStr">
        <is>
          <t>KptEnc 64-&gt;128</t>
        </is>
      </c>
      <c r="B7" s="7" t="inlineStr">
        <is>
          <t>multiply</t>
        </is>
      </c>
      <c r="C7" s="11" t="n">
        <v>128</v>
      </c>
      <c r="D7" s="11" t="n">
        <v>512</v>
      </c>
      <c r="E7" s="11" t="n">
        <v>0</v>
      </c>
      <c r="F7" s="2" t="n">
        <v>0</v>
      </c>
      <c r="G7" s="2" t="n">
        <v>64</v>
      </c>
      <c r="H7" s="2" t="n">
        <v>0</v>
      </c>
      <c r="I7" s="3" t="n">
        <v>0</v>
      </c>
      <c r="J7" s="3" t="n">
        <v>0</v>
      </c>
      <c r="K7" s="3" t="n">
        <v>0</v>
      </c>
      <c r="L7" s="13" t="n">
        <v>128</v>
      </c>
      <c r="M7" s="13" t="n">
        <v>512</v>
      </c>
      <c r="N7" s="13" t="n">
        <v>0</v>
      </c>
      <c r="O7" s="3">
        <f>C7*D7/1024</f>
        <v/>
      </c>
      <c r="P7" s="3" t="n">
        <v>0</v>
      </c>
      <c r="Q7" s="3" t="n">
        <v>0</v>
      </c>
      <c r="R7" s="3">
        <f>L7*M7/1024</f>
        <v/>
      </c>
      <c r="S7" s="3">
        <f>C7*D7*G7/128</f>
        <v/>
      </c>
      <c r="T7" s="3">
        <f>(S7/$Y$2)/1000</f>
        <v/>
      </c>
      <c r="U7" s="26">
        <f>((O7*8*1024)/$T7)/1000</f>
        <v/>
      </c>
      <c r="V7" s="26">
        <f>((P7*8*1024)/$T7)/1000</f>
        <v/>
      </c>
      <c r="W7" s="26">
        <f>((Q7*8*1024)/$T7)/1000</f>
        <v/>
      </c>
      <c r="X7" s="26">
        <f>((R7*8*1024)/$T7)/1000</f>
        <v/>
      </c>
    </row>
    <row r="8">
      <c r="A8" s="7" t="inlineStr">
        <is>
          <t>KptEnc 64-&gt;128</t>
        </is>
      </c>
      <c r="B8" s="7" t="inlineStr">
        <is>
          <t>accumulate</t>
        </is>
      </c>
      <c r="C8" s="11" t="n">
        <v>128</v>
      </c>
      <c r="D8" s="11" t="n">
        <v>512</v>
      </c>
      <c r="E8" s="11" t="n">
        <v>0</v>
      </c>
      <c r="F8" s="2" t="n">
        <v>0</v>
      </c>
      <c r="G8" s="2" t="n">
        <v>64</v>
      </c>
      <c r="H8" s="2" t="n">
        <v>0</v>
      </c>
      <c r="I8" s="3" t="n">
        <v>0</v>
      </c>
      <c r="J8" s="3" t="n">
        <v>0</v>
      </c>
      <c r="K8" s="3" t="n">
        <v>0</v>
      </c>
      <c r="L8" s="13" t="n">
        <v>128</v>
      </c>
      <c r="M8" s="13" t="n">
        <v>512</v>
      </c>
      <c r="N8" s="13" t="n">
        <v>0</v>
      </c>
      <c r="O8" s="3">
        <f>C8*D8/1024</f>
        <v/>
      </c>
      <c r="P8" s="3" t="n">
        <v>0</v>
      </c>
      <c r="Q8" s="3" t="n">
        <v>0</v>
      </c>
      <c r="R8" s="3">
        <f>L8*M8/1024</f>
        <v/>
      </c>
      <c r="S8" s="3">
        <f>C8*D8*G8/128</f>
        <v/>
      </c>
      <c r="T8" s="3">
        <f>(S8/$Y$2)/1000</f>
        <v/>
      </c>
      <c r="U8" s="26">
        <f>((O8*8*1024)/$T8)/1000</f>
        <v/>
      </c>
      <c r="V8" s="26">
        <f>((P8*8*1024)/$T8)/1000</f>
        <v/>
      </c>
      <c r="W8" s="26">
        <f>((Q8*8*1024)/$T8)/1000</f>
        <v/>
      </c>
      <c r="X8" s="26">
        <f>((R8*8*1024)/$T8)/1000</f>
        <v/>
      </c>
    </row>
    <row r="9">
      <c r="A9" s="7" t="inlineStr">
        <is>
          <t>KptEnc 128-&gt;256</t>
        </is>
      </c>
      <c r="B9" s="7" t="inlineStr">
        <is>
          <t>multiply</t>
        </is>
      </c>
      <c r="C9" s="11" t="n">
        <v>256</v>
      </c>
      <c r="D9" s="11" t="n">
        <v>512</v>
      </c>
      <c r="E9" s="11" t="n">
        <v>0</v>
      </c>
      <c r="F9" s="2" t="n">
        <v>0</v>
      </c>
      <c r="G9" s="2" t="n">
        <v>128</v>
      </c>
      <c r="H9" s="2" t="n">
        <v>0</v>
      </c>
      <c r="I9" s="3" t="n">
        <v>0</v>
      </c>
      <c r="J9" s="3" t="n">
        <v>0</v>
      </c>
      <c r="K9" s="3" t="n">
        <v>0</v>
      </c>
      <c r="L9" s="13" t="n">
        <v>256</v>
      </c>
      <c r="M9" s="13" t="n">
        <v>512</v>
      </c>
      <c r="N9" s="13" t="n">
        <v>0</v>
      </c>
      <c r="O9" s="3">
        <f>C9*D9/1024</f>
        <v/>
      </c>
      <c r="P9" s="3" t="n">
        <v>0</v>
      </c>
      <c r="Q9" s="3" t="n">
        <v>0</v>
      </c>
      <c r="R9" s="3">
        <f>L9*M9/1024</f>
        <v/>
      </c>
      <c r="S9" s="3">
        <f>C9*D9*G9/128</f>
        <v/>
      </c>
      <c r="T9" s="3">
        <f>(S9/$Y$2)/1000</f>
        <v/>
      </c>
      <c r="U9" s="26">
        <f>((O9*8*1024)/$T9)/1000</f>
        <v/>
      </c>
      <c r="V9" s="26">
        <f>((P9*8*1024)/$T9)/1000</f>
        <v/>
      </c>
      <c r="W9" s="26">
        <f>((Q9*8*1024)/$T9)/1000</f>
        <v/>
      </c>
      <c r="X9" s="26">
        <f>((R9*8*1024)/$T9)/1000</f>
        <v/>
      </c>
    </row>
    <row r="10">
      <c r="A10" s="7" t="inlineStr">
        <is>
          <t>KptEnc 128-&gt;256</t>
        </is>
      </c>
      <c r="B10" s="7" t="inlineStr">
        <is>
          <t>accumulate</t>
        </is>
      </c>
      <c r="C10" s="11" t="n">
        <v>256</v>
      </c>
      <c r="D10" s="11" t="n">
        <v>512</v>
      </c>
      <c r="E10" s="11" t="n">
        <v>0</v>
      </c>
      <c r="F10" s="2" t="n">
        <v>0</v>
      </c>
      <c r="G10" s="2" t="n">
        <v>128</v>
      </c>
      <c r="H10" s="2" t="n">
        <v>0</v>
      </c>
      <c r="I10" s="3" t="n">
        <v>0</v>
      </c>
      <c r="J10" s="3" t="n">
        <v>0</v>
      </c>
      <c r="K10" s="3" t="n">
        <v>0</v>
      </c>
      <c r="L10" s="13" t="n">
        <v>256</v>
      </c>
      <c r="M10" s="13" t="n">
        <v>512</v>
      </c>
      <c r="N10" s="13" t="n">
        <v>0</v>
      </c>
      <c r="O10" s="3">
        <f>C10*D10/1024</f>
        <v/>
      </c>
      <c r="P10" s="3" t="n">
        <v>0</v>
      </c>
      <c r="Q10" s="3" t="n">
        <v>0</v>
      </c>
      <c r="R10" s="3">
        <f>L10*M10/1024</f>
        <v/>
      </c>
      <c r="S10" s="3">
        <f>C10*D10*G10/128</f>
        <v/>
      </c>
      <c r="T10" s="3">
        <f>(S10/$Y$2)/1000</f>
        <v/>
      </c>
      <c r="U10" s="26">
        <f>((O10*8*1024)/$T10)/1000</f>
        <v/>
      </c>
      <c r="V10" s="26">
        <f>((P10*8*1024)/$T10)/1000</f>
        <v/>
      </c>
      <c r="W10" s="26">
        <f>((Q10*8*1024)/$T10)/1000</f>
        <v/>
      </c>
      <c r="X10" s="26">
        <f>((R10*8*1024)/$T10)/1000</f>
        <v/>
      </c>
    </row>
    <row r="11">
      <c r="A11" s="7" t="inlineStr">
        <is>
          <t>Residual desc+=enc</t>
        </is>
      </c>
      <c r="B11" s="7" t="inlineStr">
        <is>
          <t>add</t>
        </is>
      </c>
      <c r="C11" s="11" t="n">
        <v>256</v>
      </c>
      <c r="D11" s="11" t="n">
        <v>512</v>
      </c>
      <c r="E11" s="11" t="n">
        <v>0</v>
      </c>
      <c r="F11" s="2" t="n">
        <v>0</v>
      </c>
      <c r="G11" s="2" t="n">
        <v>0</v>
      </c>
      <c r="H11" s="2" t="n">
        <v>0</v>
      </c>
      <c r="I11" s="3" t="n">
        <v>0</v>
      </c>
      <c r="J11" s="3" t="n">
        <v>0</v>
      </c>
      <c r="K11" s="3" t="n">
        <v>0</v>
      </c>
      <c r="L11" s="13" t="n">
        <v>256</v>
      </c>
      <c r="M11" s="13" t="n">
        <v>512</v>
      </c>
      <c r="N11" s="13" t="n">
        <v>0</v>
      </c>
      <c r="O11" s="3">
        <f>C11*D11/1024</f>
        <v/>
      </c>
      <c r="P11" s="3" t="n">
        <v>0</v>
      </c>
      <c r="Q11" s="3" t="n">
        <v>0</v>
      </c>
      <c r="R11" s="3">
        <f>L11*M11/1024</f>
        <v/>
      </c>
      <c r="S11" s="3">
        <f>C11*D11/128</f>
        <v/>
      </c>
      <c r="T11" s="3">
        <f>(S11/$Y$2)/1000</f>
        <v/>
      </c>
      <c r="U11" s="26">
        <f>((O11*8*1024)/$T11)/1000</f>
        <v/>
      </c>
      <c r="V11" s="26">
        <f>((P11*8*1024)/$T11)/1000</f>
        <v/>
      </c>
      <c r="W11" s="26">
        <f>((Q11*8*1024)/$T11)/1000</f>
        <v/>
      </c>
      <c r="X11" s="26">
        <f>((R11*8*1024)/$T11)/1000</f>
        <v/>
      </c>
      <c r="Y11" s="17" t="inlineStr">
        <is>
          <t>Encoder total [us] -&gt;</t>
        </is>
      </c>
      <c r="Z11" s="17">
        <f>2*(SUM(T3:T11))</f>
        <v/>
      </c>
    </row>
    <row r="12">
      <c r="A12" s="7" t="inlineStr">
        <is>
          <t>Q proj D-&gt;D</t>
        </is>
      </c>
      <c r="B12" s="7" t="inlineStr">
        <is>
          <t>multiply</t>
        </is>
      </c>
      <c r="C12" s="11" t="n">
        <v>256</v>
      </c>
      <c r="D12" s="11" t="n">
        <v>512</v>
      </c>
      <c r="E12" s="11" t="n">
        <v>0</v>
      </c>
      <c r="F12" s="2" t="n">
        <v>0</v>
      </c>
      <c r="G12" s="2" t="n">
        <v>256</v>
      </c>
      <c r="H12" s="2" t="n">
        <v>0</v>
      </c>
      <c r="I12" s="3" t="n">
        <v>0</v>
      </c>
      <c r="J12" s="3" t="n">
        <v>0</v>
      </c>
      <c r="K12" s="3" t="n">
        <v>0</v>
      </c>
      <c r="L12" s="13" t="n">
        <v>256</v>
      </c>
      <c r="M12" s="13" t="n">
        <v>512</v>
      </c>
      <c r="N12" s="13" t="n">
        <v>0</v>
      </c>
      <c r="O12" s="3">
        <f>C12*D12/1024</f>
        <v/>
      </c>
      <c r="P12" s="3" t="n">
        <v>0</v>
      </c>
      <c r="Q12" s="3" t="n">
        <v>0</v>
      </c>
      <c r="R12" s="3">
        <f>L12*M12/1024</f>
        <v/>
      </c>
      <c r="S12" s="3">
        <f>C12*D12*G12/128</f>
        <v/>
      </c>
      <c r="T12" s="3">
        <f>(S12/$Y$2)/1000</f>
        <v/>
      </c>
      <c r="U12" s="26">
        <f>((O12*8*1024)/$T12)/1000</f>
        <v/>
      </c>
      <c r="V12" s="26">
        <f>((P12*8*1024)/$T12)/1000</f>
        <v/>
      </c>
      <c r="W12" s="26">
        <f>((Q12*8*1024)/$T12)/1000</f>
        <v/>
      </c>
      <c r="X12" s="26">
        <f>((R12*8*1024)/$T12)/1000</f>
        <v/>
      </c>
    </row>
    <row r="13">
      <c r="A13" s="7" t="inlineStr">
        <is>
          <t>Q proj D-&gt;D</t>
        </is>
      </c>
      <c r="B13" s="7" t="inlineStr">
        <is>
          <t>accumulate</t>
        </is>
      </c>
      <c r="C13" s="11" t="n">
        <v>256</v>
      </c>
      <c r="D13" s="11" t="n">
        <v>512</v>
      </c>
      <c r="E13" s="11" t="n">
        <v>0</v>
      </c>
      <c r="F13" s="2" t="n">
        <v>0</v>
      </c>
      <c r="G13" s="2" t="n">
        <v>256</v>
      </c>
      <c r="H13" s="2" t="n">
        <v>0</v>
      </c>
      <c r="I13" s="3" t="n">
        <v>0</v>
      </c>
      <c r="J13" s="3" t="n">
        <v>0</v>
      </c>
      <c r="K13" s="3" t="n">
        <v>0</v>
      </c>
      <c r="L13" s="13" t="n">
        <v>256</v>
      </c>
      <c r="M13" s="13" t="n">
        <v>512</v>
      </c>
      <c r="N13" s="13" t="n">
        <v>0</v>
      </c>
      <c r="O13" s="3">
        <f>C13*D13/1024</f>
        <v/>
      </c>
      <c r="P13" s="3" t="n">
        <v>0</v>
      </c>
      <c r="Q13" s="3" t="n">
        <v>0</v>
      </c>
      <c r="R13" s="3">
        <f>L13*M13/1024</f>
        <v/>
      </c>
      <c r="S13" s="3">
        <f>C13*D13*G13/128</f>
        <v/>
      </c>
      <c r="T13" s="3">
        <f>(S13/$Y$2)/1000</f>
        <v/>
      </c>
      <c r="U13" s="26">
        <f>((O13*8*1024)/$T13)/1000</f>
        <v/>
      </c>
      <c r="V13" s="26">
        <f>((P13*8*1024)/$T13)/1000</f>
        <v/>
      </c>
      <c r="W13" s="26">
        <f>((Q13*8*1024)/$T13)/1000</f>
        <v/>
      </c>
      <c r="X13" s="26">
        <f>((R13*8*1024)/$T13)/1000</f>
        <v/>
      </c>
    </row>
    <row r="14">
      <c r="A14" s="7" t="inlineStr">
        <is>
          <t>K proj D-&gt;D</t>
        </is>
      </c>
      <c r="B14" s="7" t="inlineStr">
        <is>
          <t>multiply</t>
        </is>
      </c>
      <c r="C14" s="11" t="n">
        <v>256</v>
      </c>
      <c r="D14" s="11" t="n">
        <v>512</v>
      </c>
      <c r="E14" s="11" t="n">
        <v>0</v>
      </c>
      <c r="F14" s="2" t="n">
        <v>0</v>
      </c>
      <c r="G14" s="2" t="n">
        <v>256</v>
      </c>
      <c r="H14" s="2" t="n">
        <v>0</v>
      </c>
      <c r="I14" s="3" t="n">
        <v>0</v>
      </c>
      <c r="J14" s="3" t="n">
        <v>0</v>
      </c>
      <c r="K14" s="3" t="n">
        <v>0</v>
      </c>
      <c r="L14" s="13" t="n">
        <v>256</v>
      </c>
      <c r="M14" s="13" t="n">
        <v>512</v>
      </c>
      <c r="N14" s="13" t="n">
        <v>0</v>
      </c>
      <c r="O14" s="3">
        <f>C14*D14/1024</f>
        <v/>
      </c>
      <c r="P14" s="3" t="n">
        <v>0</v>
      </c>
      <c r="Q14" s="3" t="n">
        <v>0</v>
      </c>
      <c r="R14" s="3">
        <f>L14*M14/1024</f>
        <v/>
      </c>
      <c r="S14" s="3">
        <f>C14*D14*G14/128</f>
        <v/>
      </c>
      <c r="T14" s="3">
        <f>(S14/$Y$2)/1000</f>
        <v/>
      </c>
      <c r="U14" s="26">
        <f>((O14*8*1024)/$T14)/1000</f>
        <v/>
      </c>
      <c r="V14" s="26">
        <f>((P14*8*1024)/$T14)/1000</f>
        <v/>
      </c>
      <c r="W14" s="26">
        <f>((Q14*8*1024)/$T14)/1000</f>
        <v/>
      </c>
      <c r="X14" s="26">
        <f>((R14*8*1024)/$T14)/1000</f>
        <v/>
      </c>
    </row>
    <row r="15">
      <c r="A15" s="7" t="inlineStr">
        <is>
          <t>K proj D-&gt;D</t>
        </is>
      </c>
      <c r="B15" s="7" t="inlineStr">
        <is>
          <t>accumulate</t>
        </is>
      </c>
      <c r="C15" s="11" t="n">
        <v>256</v>
      </c>
      <c r="D15" s="11" t="n">
        <v>512</v>
      </c>
      <c r="E15" s="11" t="n">
        <v>0</v>
      </c>
      <c r="F15" s="2" t="n">
        <v>0</v>
      </c>
      <c r="G15" s="2" t="n">
        <v>256</v>
      </c>
      <c r="H15" s="2" t="n">
        <v>0</v>
      </c>
      <c r="I15" s="3" t="n">
        <v>0</v>
      </c>
      <c r="J15" s="3" t="n">
        <v>0</v>
      </c>
      <c r="K15" s="3" t="n">
        <v>0</v>
      </c>
      <c r="L15" s="13" t="n">
        <v>256</v>
      </c>
      <c r="M15" s="13" t="n">
        <v>512</v>
      </c>
      <c r="N15" s="13" t="n">
        <v>0</v>
      </c>
      <c r="O15" s="3">
        <f>C15*D15/1024</f>
        <v/>
      </c>
      <c r="P15" s="3" t="n">
        <v>0</v>
      </c>
      <c r="Q15" s="3" t="n">
        <v>0</v>
      </c>
      <c r="R15" s="3">
        <f>L15*M15/1024</f>
        <v/>
      </c>
      <c r="S15" s="3">
        <f>C15*D15*G15/128</f>
        <v/>
      </c>
      <c r="T15" s="3">
        <f>(S15/$Y$2)/1000</f>
        <v/>
      </c>
      <c r="U15" s="26">
        <f>((O15*8*1024)/$T15)/1000</f>
        <v/>
      </c>
      <c r="V15" s="26">
        <f>((P15*8*1024)/$T15)/1000</f>
        <v/>
      </c>
      <c r="W15" s="26">
        <f>((Q15*8*1024)/$T15)/1000</f>
        <v/>
      </c>
      <c r="X15" s="26">
        <f>((R15*8*1024)/$T15)/1000</f>
        <v/>
      </c>
    </row>
    <row r="16">
      <c r="A16" s="7" t="inlineStr">
        <is>
          <t>V proj D-&gt;D</t>
        </is>
      </c>
      <c r="B16" s="7" t="inlineStr">
        <is>
          <t>multiply</t>
        </is>
      </c>
      <c r="C16" s="11" t="n">
        <v>256</v>
      </c>
      <c r="D16" s="11" t="n">
        <v>512</v>
      </c>
      <c r="E16" s="11" t="n">
        <v>0</v>
      </c>
      <c r="F16" s="2" t="n">
        <v>0</v>
      </c>
      <c r="G16" s="2" t="n">
        <v>256</v>
      </c>
      <c r="H16" s="2" t="n">
        <v>0</v>
      </c>
      <c r="I16" s="3" t="n">
        <v>0</v>
      </c>
      <c r="J16" s="3" t="n">
        <v>0</v>
      </c>
      <c r="K16" s="3" t="n">
        <v>0</v>
      </c>
      <c r="L16" s="13" t="n">
        <v>256</v>
      </c>
      <c r="M16" s="13" t="n">
        <v>512</v>
      </c>
      <c r="N16" s="13" t="n">
        <v>0</v>
      </c>
      <c r="O16" s="3">
        <f>C16*D16/1024</f>
        <v/>
      </c>
      <c r="P16" s="3" t="n">
        <v>0</v>
      </c>
      <c r="Q16" s="3" t="n">
        <v>0</v>
      </c>
      <c r="R16" s="3">
        <f>L16*M16/1024</f>
        <v/>
      </c>
      <c r="S16" s="3">
        <f>C16*D16*G16/128</f>
        <v/>
      </c>
      <c r="T16" s="3">
        <f>(S16/$Y$2)/1000</f>
        <v/>
      </c>
      <c r="U16" s="26">
        <f>((O16*8*1024)/$T16)/1000</f>
        <v/>
      </c>
      <c r="V16" s="26">
        <f>((P16*8*1024)/$T16)/1000</f>
        <v/>
      </c>
      <c r="W16" s="26">
        <f>((Q16*8*1024)/$T16)/1000</f>
        <v/>
      </c>
      <c r="X16" s="26">
        <f>((R16*8*1024)/$T16)/1000</f>
        <v/>
      </c>
    </row>
    <row r="17">
      <c r="A17" s="7" t="inlineStr">
        <is>
          <t>V proj D-&gt;D</t>
        </is>
      </c>
      <c r="B17" s="7" t="inlineStr">
        <is>
          <t>accumulate</t>
        </is>
      </c>
      <c r="C17" s="11" t="n">
        <v>256</v>
      </c>
      <c r="D17" s="11" t="n">
        <v>512</v>
      </c>
      <c r="E17" s="11" t="n">
        <v>0</v>
      </c>
      <c r="F17" s="2" t="n">
        <v>0</v>
      </c>
      <c r="G17" s="2" t="n">
        <v>256</v>
      </c>
      <c r="H17" s="2" t="n">
        <v>0</v>
      </c>
      <c r="I17" s="3" t="n">
        <v>0</v>
      </c>
      <c r="J17" s="3" t="n">
        <v>0</v>
      </c>
      <c r="K17" s="3" t="n">
        <v>0</v>
      </c>
      <c r="L17" s="13" t="n">
        <v>256</v>
      </c>
      <c r="M17" s="13" t="n">
        <v>512</v>
      </c>
      <c r="N17" s="13" t="n">
        <v>0</v>
      </c>
      <c r="O17" s="3">
        <f>C17*D17/1024</f>
        <v/>
      </c>
      <c r="P17" s="3" t="n">
        <v>0</v>
      </c>
      <c r="Q17" s="3" t="n">
        <v>0</v>
      </c>
      <c r="R17" s="3">
        <f>L17*M17/1024</f>
        <v/>
      </c>
      <c r="S17" s="3">
        <f>C17*D17*G17/128</f>
        <v/>
      </c>
      <c r="T17" s="3">
        <f>(S17/$Y$2)/1000</f>
        <v/>
      </c>
      <c r="U17" s="26">
        <f>((O17*8*1024)/$T17)/1000</f>
        <v/>
      </c>
      <c r="V17" s="26">
        <f>((P17*8*1024)/$T17)/1000</f>
        <v/>
      </c>
      <c r="W17" s="26">
        <f>((Q17*8*1024)/$T17)/1000</f>
        <v/>
      </c>
      <c r="X17" s="26">
        <f>((R17*8*1024)/$T17)/1000</f>
        <v/>
      </c>
    </row>
    <row r="18">
      <c r="A18" s="7" t="inlineStr">
        <is>
          <t>head reshape Q</t>
        </is>
      </c>
      <c r="B18" s="7" t="inlineStr">
        <is>
          <t>reshape</t>
        </is>
      </c>
      <c r="C18" s="11" t="n">
        <v>64</v>
      </c>
      <c r="D18" s="11" t="n">
        <v>512</v>
      </c>
      <c r="E18" s="11" t="n">
        <v>0</v>
      </c>
      <c r="F18" s="2" t="n">
        <v>0</v>
      </c>
      <c r="G18" s="2" t="n">
        <v>0</v>
      </c>
      <c r="H18" s="2" t="n">
        <v>0</v>
      </c>
      <c r="I18" s="3" t="n">
        <v>0</v>
      </c>
      <c r="J18" s="3" t="n">
        <v>0</v>
      </c>
      <c r="K18" s="3" t="n">
        <v>0</v>
      </c>
      <c r="L18" s="13" t="n">
        <v>64</v>
      </c>
      <c r="M18" s="13" t="n">
        <v>512</v>
      </c>
      <c r="N18" s="13" t="n">
        <v>0</v>
      </c>
      <c r="O18" s="3">
        <f>C18*D18/1024</f>
        <v/>
      </c>
      <c r="P18" s="3" t="n">
        <v>0</v>
      </c>
      <c r="Q18" s="3" t="n">
        <v>0</v>
      </c>
      <c r="R18" s="3">
        <f>L18*M18/1024</f>
        <v/>
      </c>
      <c r="S18" s="3" t="inlineStr">
        <is>
          <t>0</t>
        </is>
      </c>
      <c r="T18" s="3" t="n">
        <v>0</v>
      </c>
      <c r="U18" s="26" t="n">
        <v>0</v>
      </c>
      <c r="V18" s="26" t="n">
        <v>0</v>
      </c>
      <c r="W18" s="26" t="n">
        <v>0</v>
      </c>
      <c r="X18" s="26" t="n">
        <v>0</v>
      </c>
    </row>
    <row r="19">
      <c r="A19" s="7" t="inlineStr">
        <is>
          <t>head reshape K</t>
        </is>
      </c>
      <c r="B19" s="7" t="inlineStr">
        <is>
          <t>reshape</t>
        </is>
      </c>
      <c r="C19" s="11" t="n">
        <v>64</v>
      </c>
      <c r="D19" s="11" t="n">
        <v>512</v>
      </c>
      <c r="E19" s="11" t="n">
        <v>0</v>
      </c>
      <c r="F19" s="2" t="n">
        <v>0</v>
      </c>
      <c r="G19" s="2" t="n">
        <v>0</v>
      </c>
      <c r="H19" s="2" t="n">
        <v>0</v>
      </c>
      <c r="I19" s="3" t="n">
        <v>0</v>
      </c>
      <c r="J19" s="3" t="n">
        <v>0</v>
      </c>
      <c r="K19" s="3" t="n">
        <v>0</v>
      </c>
      <c r="L19" s="13" t="n">
        <v>64</v>
      </c>
      <c r="M19" s="13" t="n">
        <v>512</v>
      </c>
      <c r="N19" s="13" t="n">
        <v>0</v>
      </c>
      <c r="O19" s="3">
        <f>C19*D19/1024</f>
        <v/>
      </c>
      <c r="P19" s="3" t="n">
        <v>0</v>
      </c>
      <c r="Q19" s="3" t="n">
        <v>0</v>
      </c>
      <c r="R19" s="3">
        <f>L19*M19/1024</f>
        <v/>
      </c>
      <c r="S19" s="3" t="inlineStr">
        <is>
          <t>0</t>
        </is>
      </c>
      <c r="T19" s="3" t="n">
        <v>0</v>
      </c>
      <c r="U19" s="26" t="n">
        <v>0</v>
      </c>
      <c r="V19" s="26" t="n">
        <v>0</v>
      </c>
      <c r="W19" s="26" t="n">
        <v>0</v>
      </c>
      <c r="X19" s="26" t="n">
        <v>0</v>
      </c>
    </row>
    <row r="20">
      <c r="A20" s="7" t="inlineStr">
        <is>
          <t>head reshape V</t>
        </is>
      </c>
      <c r="B20" s="7" t="inlineStr">
        <is>
          <t>reshape</t>
        </is>
      </c>
      <c r="C20" s="11" t="n">
        <v>64</v>
      </c>
      <c r="D20" s="11" t="n">
        <v>512</v>
      </c>
      <c r="E20" s="11" t="n">
        <v>0</v>
      </c>
      <c r="F20" s="2" t="n">
        <v>0</v>
      </c>
      <c r="G20" s="2" t="n">
        <v>0</v>
      </c>
      <c r="H20" s="2" t="n">
        <v>0</v>
      </c>
      <c r="I20" s="3" t="n">
        <v>0</v>
      </c>
      <c r="J20" s="3" t="n">
        <v>0</v>
      </c>
      <c r="K20" s="3" t="n">
        <v>0</v>
      </c>
      <c r="L20" s="13" t="n">
        <v>64</v>
      </c>
      <c r="M20" s="13" t="n">
        <v>512</v>
      </c>
      <c r="N20" s="13" t="n">
        <v>0</v>
      </c>
      <c r="O20" s="3">
        <f>C20*D20/1024</f>
        <v/>
      </c>
      <c r="P20" s="3" t="n">
        <v>0</v>
      </c>
      <c r="Q20" s="3" t="n">
        <v>0</v>
      </c>
      <c r="R20" s="3">
        <f>L20*M20/1024</f>
        <v/>
      </c>
      <c r="S20" s="3" t="inlineStr">
        <is>
          <t>0</t>
        </is>
      </c>
      <c r="T20" s="3" t="n">
        <v>0</v>
      </c>
      <c r="U20" s="26" t="n">
        <v>0</v>
      </c>
      <c r="V20" s="26" t="n">
        <v>0</v>
      </c>
      <c r="W20" s="26" t="n">
        <v>0</v>
      </c>
      <c r="X20" s="26" t="n">
        <v>0</v>
      </c>
    </row>
    <row r="21">
      <c r="A21" s="7" t="inlineStr">
        <is>
          <t>QKt (1 head)</t>
        </is>
      </c>
      <c r="B21" s="7" t="inlineStr">
        <is>
          <t>multiply</t>
        </is>
      </c>
      <c r="C21" s="11" t="n">
        <v>512</v>
      </c>
      <c r="D21" s="11" t="n">
        <v>512</v>
      </c>
      <c r="E21" s="11" t="n">
        <v>0</v>
      </c>
      <c r="F21" s="2" t="n">
        <v>0</v>
      </c>
      <c r="G21" s="2" t="n">
        <v>64</v>
      </c>
      <c r="H21" s="2" t="n">
        <v>0</v>
      </c>
      <c r="I21" s="3" t="n">
        <v>0</v>
      </c>
      <c r="J21" s="3" t="n">
        <v>0</v>
      </c>
      <c r="K21" s="3" t="n">
        <v>0</v>
      </c>
      <c r="L21" s="13" t="n">
        <v>512</v>
      </c>
      <c r="M21" s="13" t="n">
        <v>512</v>
      </c>
      <c r="N21" s="13" t="n">
        <v>0</v>
      </c>
      <c r="O21" s="3">
        <f>C21*D21/1024</f>
        <v/>
      </c>
      <c r="P21" s="3" t="n">
        <v>0</v>
      </c>
      <c r="Q21" s="3" t="n">
        <v>0</v>
      </c>
      <c r="R21" s="3">
        <f>L21*M21/1024</f>
        <v/>
      </c>
      <c r="S21" s="3">
        <f>C21*D21*G21/128</f>
        <v/>
      </c>
      <c r="T21" s="3">
        <f>(S21/$Y$2)/1000</f>
        <v/>
      </c>
      <c r="U21" s="26">
        <f>((O21*8*1024)/$T21)/1000</f>
        <v/>
      </c>
      <c r="V21" s="26">
        <f>((P21*8*1024)/$T21)/1000</f>
        <v/>
      </c>
      <c r="W21" s="26">
        <f>((Q21*8*1024)/$T21)/1000</f>
        <v/>
      </c>
      <c r="X21" s="26">
        <f>((R21*8*1024)/$T21)/1000</f>
        <v/>
      </c>
    </row>
    <row r="22">
      <c r="A22" s="7" t="inlineStr">
        <is>
          <t>QKt (1 head)</t>
        </is>
      </c>
      <c r="B22" s="7" t="inlineStr">
        <is>
          <t>accumulate</t>
        </is>
      </c>
      <c r="C22" s="11" t="n">
        <v>512</v>
      </c>
      <c r="D22" s="11" t="n">
        <v>512</v>
      </c>
      <c r="E22" s="11" t="n">
        <v>0</v>
      </c>
      <c r="F22" s="2" t="n">
        <v>0</v>
      </c>
      <c r="G22" s="2" t="n">
        <v>64</v>
      </c>
      <c r="H22" s="2" t="n">
        <v>0</v>
      </c>
      <c r="I22" s="3" t="n">
        <v>0</v>
      </c>
      <c r="J22" s="3" t="n">
        <v>0</v>
      </c>
      <c r="K22" s="3" t="n">
        <v>0</v>
      </c>
      <c r="L22" s="13" t="n">
        <v>512</v>
      </c>
      <c r="M22" s="13" t="n">
        <v>512</v>
      </c>
      <c r="N22" s="13" t="n">
        <v>0</v>
      </c>
      <c r="O22" s="3">
        <f>C22*D22/1024</f>
        <v/>
      </c>
      <c r="P22" s="3" t="n">
        <v>0</v>
      </c>
      <c r="Q22" s="3" t="n">
        <v>0</v>
      </c>
      <c r="R22" s="3">
        <f>L22*M22/1024</f>
        <v/>
      </c>
      <c r="S22" s="3">
        <f>C22*D22*G22/128</f>
        <v/>
      </c>
      <c r="T22" s="3">
        <f>(S22/$Y$2)/1000</f>
        <v/>
      </c>
      <c r="U22" s="26">
        <f>((O22*8*1024)/$T22)/1000</f>
        <v/>
      </c>
      <c r="V22" s="26">
        <f>((P22*8*1024)/$T22)/1000</f>
        <v/>
      </c>
      <c r="W22" s="26">
        <f>((Q22*8*1024)/$T22)/1000</f>
        <v/>
      </c>
      <c r="X22" s="26">
        <f>((R22*8*1024)/$T22)/1000</f>
        <v/>
      </c>
    </row>
    <row r="23">
      <c r="A23" s="7" t="inlineStr">
        <is>
          <t>scale 1/sqrt(d)</t>
        </is>
      </c>
      <c r="B23" s="7" t="inlineStr">
        <is>
          <t>multiply</t>
        </is>
      </c>
      <c r="C23" s="11" t="n">
        <v>512</v>
      </c>
      <c r="D23" s="11" t="n">
        <v>512</v>
      </c>
      <c r="E23" s="11" t="n">
        <v>0</v>
      </c>
      <c r="F23" s="2" t="n">
        <v>0</v>
      </c>
      <c r="G23" s="2" t="n">
        <v>0</v>
      </c>
      <c r="H23" s="2" t="n">
        <v>0</v>
      </c>
      <c r="I23" s="3" t="n">
        <v>0</v>
      </c>
      <c r="J23" s="3" t="n">
        <v>0</v>
      </c>
      <c r="K23" s="3" t="n">
        <v>0</v>
      </c>
      <c r="L23" s="13" t="n">
        <v>512</v>
      </c>
      <c r="M23" s="13" t="n">
        <v>512</v>
      </c>
      <c r="N23" s="13" t="n">
        <v>0</v>
      </c>
      <c r="O23" s="3">
        <f>C23*D23/1024</f>
        <v/>
      </c>
      <c r="P23" s="3" t="n">
        <v>0</v>
      </c>
      <c r="Q23" s="3" t="n">
        <v>0</v>
      </c>
      <c r="R23" s="3">
        <f>L23*M23/1024</f>
        <v/>
      </c>
      <c r="S23" s="3">
        <f>C23*D23/128</f>
        <v/>
      </c>
      <c r="T23" s="3">
        <f>(S23/$Y$2)/1000</f>
        <v/>
      </c>
      <c r="U23" s="26">
        <f>((O23*8*1024)/$T23)/1000</f>
        <v/>
      </c>
      <c r="V23" s="26">
        <f>((P23*8*1024)/$T23)/1000</f>
        <v/>
      </c>
      <c r="W23" s="26">
        <f>((Q23*8*1024)/$T23)/1000</f>
        <v/>
      </c>
      <c r="X23" s="26">
        <f>((R23*8*1024)/$T23)/1000</f>
        <v/>
      </c>
    </row>
    <row r="24">
      <c r="A24" s="7" t="inlineStr">
        <is>
          <t>softmax (1 head)</t>
        </is>
      </c>
      <c r="B24" s="7" t="inlineStr">
        <is>
          <t>max</t>
        </is>
      </c>
      <c r="C24" s="11" t="n">
        <v>512</v>
      </c>
      <c r="D24" s="11" t="n">
        <v>512</v>
      </c>
      <c r="E24" s="11" t="n">
        <v>0</v>
      </c>
      <c r="F24" s="2" t="n">
        <v>0</v>
      </c>
      <c r="G24" s="2" t="n">
        <v>0</v>
      </c>
      <c r="H24" s="2" t="n">
        <v>0</v>
      </c>
      <c r="I24" s="3" t="n">
        <v>0</v>
      </c>
      <c r="J24" s="3" t="n">
        <v>0</v>
      </c>
      <c r="K24" s="3" t="n">
        <v>0</v>
      </c>
      <c r="L24" s="13" t="n">
        <v>512</v>
      </c>
      <c r="M24" s="13" t="n">
        <v>512</v>
      </c>
      <c r="N24" s="13" t="n">
        <v>0</v>
      </c>
      <c r="O24" s="3">
        <f>C24*D24/1024</f>
        <v/>
      </c>
      <c r="P24" s="3" t="n">
        <v>0</v>
      </c>
      <c r="Q24" s="3" t="n">
        <v>0</v>
      </c>
      <c r="R24" s="3">
        <f>L24*M24/1024</f>
        <v/>
      </c>
      <c r="S24" s="3">
        <f>C24*D24/128</f>
        <v/>
      </c>
      <c r="T24" s="3">
        <f>(S24/$Y$2)/1000</f>
        <v/>
      </c>
      <c r="U24" s="26">
        <f>((O24*8*1024)/$T24)/1000</f>
        <v/>
      </c>
      <c r="V24" s="26">
        <f>((P24*8*1024)/$T24)/1000</f>
        <v/>
      </c>
      <c r="W24" s="26">
        <f>((Q24*8*1024)/$T24)/1000</f>
        <v/>
      </c>
      <c r="X24" s="26">
        <f>((R24*8*1024)/$T24)/1000</f>
        <v/>
      </c>
    </row>
    <row r="25">
      <c r="A25" s="7" t="inlineStr">
        <is>
          <t>softmax (1 head)</t>
        </is>
      </c>
      <c r="B25" s="7" t="inlineStr">
        <is>
          <t>subtract</t>
        </is>
      </c>
      <c r="C25" s="11" t="n">
        <v>512</v>
      </c>
      <c r="D25" s="11" t="n">
        <v>512</v>
      </c>
      <c r="E25" s="11" t="n">
        <v>0</v>
      </c>
      <c r="F25" s="2" t="n">
        <v>0</v>
      </c>
      <c r="G25" s="2" t="n">
        <v>0</v>
      </c>
      <c r="H25" s="2" t="n">
        <v>0</v>
      </c>
      <c r="I25" s="3" t="n">
        <v>0</v>
      </c>
      <c r="J25" s="3" t="n">
        <v>0</v>
      </c>
      <c r="K25" s="3" t="n">
        <v>0</v>
      </c>
      <c r="L25" s="13" t="n">
        <v>512</v>
      </c>
      <c r="M25" s="13" t="n">
        <v>512</v>
      </c>
      <c r="N25" s="13" t="n">
        <v>0</v>
      </c>
      <c r="O25" s="3">
        <f>C25*D25/1024</f>
        <v/>
      </c>
      <c r="P25" s="3" t="n">
        <v>0</v>
      </c>
      <c r="Q25" s="3" t="n">
        <v>0</v>
      </c>
      <c r="R25" s="3">
        <f>L25*M25/1024</f>
        <v/>
      </c>
      <c r="S25" s="3">
        <f>C25*D25/128</f>
        <v/>
      </c>
      <c r="T25" s="3">
        <f>(S25/$Y$2)/1000</f>
        <v/>
      </c>
      <c r="U25" s="26">
        <f>((O25*8*1024)/$T25)/1000</f>
        <v/>
      </c>
      <c r="V25" s="26">
        <f>((P25*8*1024)/$T25)/1000</f>
        <v/>
      </c>
      <c r="W25" s="26">
        <f>((Q25*8*1024)/$T25)/1000</f>
        <v/>
      </c>
      <c r="X25" s="26">
        <f>((R25*8*1024)/$T25)/1000</f>
        <v/>
      </c>
    </row>
    <row r="26">
      <c r="A26" s="7" t="inlineStr">
        <is>
          <t>softmax (1 head)</t>
        </is>
      </c>
      <c r="B26" s="7" t="inlineStr">
        <is>
          <t>exp2</t>
        </is>
      </c>
      <c r="C26" s="11" t="n">
        <v>512</v>
      </c>
      <c r="D26" s="11" t="n">
        <v>512</v>
      </c>
      <c r="E26" s="11" t="n">
        <v>0</v>
      </c>
      <c r="F26" s="2" t="n">
        <v>0</v>
      </c>
      <c r="G26" s="2" t="n">
        <v>0</v>
      </c>
      <c r="H26" s="2" t="n">
        <v>0</v>
      </c>
      <c r="I26" s="3" t="n">
        <v>0</v>
      </c>
      <c r="J26" s="3" t="n">
        <v>0</v>
      </c>
      <c r="K26" s="3" t="n">
        <v>0</v>
      </c>
      <c r="L26" s="13" t="n">
        <v>512</v>
      </c>
      <c r="M26" s="13" t="n">
        <v>512</v>
      </c>
      <c r="N26" s="13" t="n">
        <v>0</v>
      </c>
      <c r="O26" s="3">
        <f>C26*D26/1024</f>
        <v/>
      </c>
      <c r="P26" s="3" t="n">
        <v>0</v>
      </c>
      <c r="Q26" s="3" t="n">
        <v>0</v>
      </c>
      <c r="R26" s="3">
        <f>L26*M26/1024</f>
        <v/>
      </c>
      <c r="S26" s="3">
        <f>C26*D26/128</f>
        <v/>
      </c>
      <c r="T26" s="3">
        <f>(S26/$Y$2)/1000</f>
        <v/>
      </c>
      <c r="U26" s="26">
        <f>((O26*8*1024)/$T26)/1000</f>
        <v/>
      </c>
      <c r="V26" s="26">
        <f>((P26*8*1024)/$T26)/1000</f>
        <v/>
      </c>
      <c r="W26" s="26">
        <f>((Q26*8*1024)/$T26)/1000</f>
        <v/>
      </c>
      <c r="X26" s="26">
        <f>((R26*8*1024)/$T26)/1000</f>
        <v/>
      </c>
    </row>
    <row r="27">
      <c r="A27" s="7" t="inlineStr">
        <is>
          <t>softmax (1 head)</t>
        </is>
      </c>
      <c r="B27" s="7" t="inlineStr">
        <is>
          <t>sum</t>
        </is>
      </c>
      <c r="C27" s="11" t="n">
        <v>512</v>
      </c>
      <c r="D27" s="11" t="n">
        <v>512</v>
      </c>
      <c r="E27" s="11" t="n">
        <v>0</v>
      </c>
      <c r="F27" s="2" t="n">
        <v>0</v>
      </c>
      <c r="G27" s="2" t="n">
        <v>0</v>
      </c>
      <c r="H27" s="2" t="n">
        <v>0</v>
      </c>
      <c r="I27" s="3" t="n">
        <v>0</v>
      </c>
      <c r="J27" s="3" t="n">
        <v>0</v>
      </c>
      <c r="K27" s="3" t="n">
        <v>0</v>
      </c>
      <c r="L27" s="13" t="n">
        <v>512</v>
      </c>
      <c r="M27" s="13" t="n">
        <v>512</v>
      </c>
      <c r="N27" s="13" t="n">
        <v>0</v>
      </c>
      <c r="O27" s="3">
        <f>C27*D27/1024</f>
        <v/>
      </c>
      <c r="P27" s="3" t="n">
        <v>0</v>
      </c>
      <c r="Q27" s="3" t="n">
        <v>0</v>
      </c>
      <c r="R27" s="3">
        <f>L27*M27/1024</f>
        <v/>
      </c>
      <c r="S27" s="3">
        <f>C27*D27/128</f>
        <v/>
      </c>
      <c r="T27" s="3">
        <f>(S27/$Y$2)/1000</f>
        <v/>
      </c>
      <c r="U27" s="26">
        <f>((O27*8*1024)/$T27)/1000</f>
        <v/>
      </c>
      <c r="V27" s="26">
        <f>((P27*8*1024)/$T27)/1000</f>
        <v/>
      </c>
      <c r="W27" s="26">
        <f>((Q27*8*1024)/$T27)/1000</f>
        <v/>
      </c>
      <c r="X27" s="26">
        <f>((R27*8*1024)/$T27)/1000</f>
        <v/>
      </c>
    </row>
    <row r="28">
      <c r="A28" s="7" t="inlineStr">
        <is>
          <t>softmax (1 head)</t>
        </is>
      </c>
      <c r="B28" s="7" t="inlineStr">
        <is>
          <t>multiply(1/Z)</t>
        </is>
      </c>
      <c r="C28" s="11" t="n">
        <v>512</v>
      </c>
      <c r="D28" s="11" t="n">
        <v>512</v>
      </c>
      <c r="E28" s="11" t="n">
        <v>0</v>
      </c>
      <c r="F28" s="2" t="n">
        <v>0</v>
      </c>
      <c r="G28" s="2" t="n">
        <v>0</v>
      </c>
      <c r="H28" s="2" t="n">
        <v>0</v>
      </c>
      <c r="I28" s="3" t="n">
        <v>0</v>
      </c>
      <c r="J28" s="3" t="n">
        <v>0</v>
      </c>
      <c r="K28" s="3" t="n">
        <v>0</v>
      </c>
      <c r="L28" s="13" t="n">
        <v>512</v>
      </c>
      <c r="M28" s="13" t="n">
        <v>512</v>
      </c>
      <c r="N28" s="13" t="n">
        <v>0</v>
      </c>
      <c r="O28" s="3">
        <f>C28*D28/1024</f>
        <v/>
      </c>
      <c r="P28" s="3" t="n">
        <v>0</v>
      </c>
      <c r="Q28" s="3" t="n">
        <v>0</v>
      </c>
      <c r="R28" s="3">
        <f>L28*M28/1024</f>
        <v/>
      </c>
      <c r="S28" s="3">
        <f>C28*D28/128</f>
        <v/>
      </c>
      <c r="T28" s="3">
        <f>(S28/$Y$2)/1000</f>
        <v/>
      </c>
      <c r="U28" s="26">
        <f>((O28*8*1024)/$T28)/1000</f>
        <v/>
      </c>
      <c r="V28" s="26">
        <f>((P28*8*1024)/$T28)/1000</f>
        <v/>
      </c>
      <c r="W28" s="26">
        <f>((Q28*8*1024)/$T28)/1000</f>
        <v/>
      </c>
      <c r="X28" s="26">
        <f>((R28*8*1024)/$T28)/1000</f>
        <v/>
      </c>
    </row>
    <row r="29">
      <c r="A29" s="7" t="inlineStr">
        <is>
          <t>attn @ V (1 head)</t>
        </is>
      </c>
      <c r="B29" s="7" t="inlineStr">
        <is>
          <t>multiply</t>
        </is>
      </c>
      <c r="C29" s="11" t="n">
        <v>512</v>
      </c>
      <c r="D29" s="11" t="n">
        <v>64</v>
      </c>
      <c r="E29" s="11" t="n">
        <v>0</v>
      </c>
      <c r="F29" s="2" t="n">
        <v>0</v>
      </c>
      <c r="G29" s="2" t="n">
        <v>512</v>
      </c>
      <c r="H29" s="2" t="n">
        <v>0</v>
      </c>
      <c r="I29" s="3" t="n">
        <v>0</v>
      </c>
      <c r="J29" s="3" t="n">
        <v>0</v>
      </c>
      <c r="K29" s="3" t="n">
        <v>0</v>
      </c>
      <c r="L29" s="13" t="n">
        <v>512</v>
      </c>
      <c r="M29" s="13" t="n">
        <v>64</v>
      </c>
      <c r="N29" s="13" t="n">
        <v>0</v>
      </c>
      <c r="O29" s="3">
        <f>C29*D29/1024</f>
        <v/>
      </c>
      <c r="P29" s="3" t="n">
        <v>0</v>
      </c>
      <c r="Q29" s="3" t="n">
        <v>0</v>
      </c>
      <c r="R29" s="3">
        <f>L29*M29/1024</f>
        <v/>
      </c>
      <c r="S29" s="3">
        <f>C29*D29*G29/128</f>
        <v/>
      </c>
      <c r="T29" s="3">
        <f>(S29/$Y$2)/1000</f>
        <v/>
      </c>
      <c r="U29" s="26">
        <f>((O29*8*1024)/$T29)/1000</f>
        <v/>
      </c>
      <c r="V29" s="26">
        <f>((P29*8*1024)/$T29)/1000</f>
        <v/>
      </c>
      <c r="W29" s="26">
        <f>((Q29*8*1024)/$T29)/1000</f>
        <v/>
      </c>
      <c r="X29" s="26">
        <f>((R29*8*1024)/$T29)/1000</f>
        <v/>
      </c>
    </row>
    <row r="30">
      <c r="A30" s="7" t="inlineStr">
        <is>
          <t>attn @ V (1 head)</t>
        </is>
      </c>
      <c r="B30" s="7" t="inlineStr">
        <is>
          <t>accumulate</t>
        </is>
      </c>
      <c r="C30" s="11" t="n">
        <v>512</v>
      </c>
      <c r="D30" s="11" t="n">
        <v>64</v>
      </c>
      <c r="E30" s="11" t="n">
        <v>0</v>
      </c>
      <c r="F30" s="2" t="n">
        <v>0</v>
      </c>
      <c r="G30" s="2" t="n">
        <v>512</v>
      </c>
      <c r="H30" s="2" t="n">
        <v>0</v>
      </c>
      <c r="I30" s="3" t="n">
        <v>0</v>
      </c>
      <c r="J30" s="3" t="n">
        <v>0</v>
      </c>
      <c r="K30" s="3" t="n">
        <v>0</v>
      </c>
      <c r="L30" s="13" t="n">
        <v>512</v>
      </c>
      <c r="M30" s="13" t="n">
        <v>64</v>
      </c>
      <c r="N30" s="13" t="n">
        <v>0</v>
      </c>
      <c r="O30" s="3">
        <f>C30*D30/1024</f>
        <v/>
      </c>
      <c r="P30" s="3" t="n">
        <v>0</v>
      </c>
      <c r="Q30" s="3" t="n">
        <v>0</v>
      </c>
      <c r="R30" s="3">
        <f>L30*M30/1024</f>
        <v/>
      </c>
      <c r="S30" s="3">
        <f>C30*D30*G30/128</f>
        <v/>
      </c>
      <c r="T30" s="3">
        <f>(S30/$Y$2)/1000</f>
        <v/>
      </c>
      <c r="U30" s="26">
        <f>((O30*8*1024)/$T30)/1000</f>
        <v/>
      </c>
      <c r="V30" s="26">
        <f>((P30*8*1024)/$T30)/1000</f>
        <v/>
      </c>
      <c r="W30" s="26">
        <f>((Q30*8*1024)/$T30)/1000</f>
        <v/>
      </c>
      <c r="X30" s="26">
        <f>((R30*8*1024)/$T30)/1000</f>
        <v/>
      </c>
    </row>
    <row r="31">
      <c r="A31" s="7" t="inlineStr">
        <is>
          <t>concat heads</t>
        </is>
      </c>
      <c r="B31" s="7" t="inlineStr">
        <is>
          <t>reshape</t>
        </is>
      </c>
      <c r="C31" s="11" t="n">
        <v>256</v>
      </c>
      <c r="D31" s="11" t="n">
        <v>512</v>
      </c>
      <c r="E31" s="11" t="n">
        <v>0</v>
      </c>
      <c r="F31" s="2" t="n">
        <v>0</v>
      </c>
      <c r="G31" s="2" t="n">
        <v>0</v>
      </c>
      <c r="H31" s="2" t="n">
        <v>0</v>
      </c>
      <c r="I31" s="3" t="n">
        <v>0</v>
      </c>
      <c r="J31" s="3" t="n">
        <v>0</v>
      </c>
      <c r="K31" s="3" t="n">
        <v>0</v>
      </c>
      <c r="L31" s="13" t="n">
        <v>256</v>
      </c>
      <c r="M31" s="13" t="n">
        <v>512</v>
      </c>
      <c r="N31" s="13" t="n">
        <v>0</v>
      </c>
      <c r="O31" s="3">
        <f>C31*D31/1024</f>
        <v/>
      </c>
      <c r="P31" s="3" t="n">
        <v>0</v>
      </c>
      <c r="Q31" s="3" t="n">
        <v>0</v>
      </c>
      <c r="R31" s="3">
        <f>L31*M31/1024</f>
        <v/>
      </c>
      <c r="S31" s="3" t="inlineStr">
        <is>
          <t>0</t>
        </is>
      </c>
      <c r="T31" s="3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17" t="inlineStr">
        <is>
          <t>total 4 heads [us]</t>
        </is>
      </c>
      <c r="Z31" s="17">
        <f>4*(SUM(T21:T30))</f>
        <v/>
      </c>
    </row>
    <row r="32">
      <c r="A32" s="7" t="inlineStr">
        <is>
          <t>out proj D-&gt;D</t>
        </is>
      </c>
      <c r="B32" s="7" t="inlineStr">
        <is>
          <t>multiply</t>
        </is>
      </c>
      <c r="C32" s="11" t="n">
        <v>256</v>
      </c>
      <c r="D32" s="11" t="n">
        <v>512</v>
      </c>
      <c r="E32" s="11" t="n">
        <v>0</v>
      </c>
      <c r="F32" s="2" t="n">
        <v>0</v>
      </c>
      <c r="G32" s="2" t="n">
        <v>256</v>
      </c>
      <c r="H32" s="2" t="n">
        <v>0</v>
      </c>
      <c r="I32" s="3" t="n">
        <v>0</v>
      </c>
      <c r="J32" s="3" t="n">
        <v>0</v>
      </c>
      <c r="K32" s="3" t="n">
        <v>0</v>
      </c>
      <c r="L32" s="13" t="n">
        <v>256</v>
      </c>
      <c r="M32" s="13" t="n">
        <v>512</v>
      </c>
      <c r="N32" s="13" t="n">
        <v>0</v>
      </c>
      <c r="O32" s="3">
        <f>C32*D32/1024</f>
        <v/>
      </c>
      <c r="P32" s="3" t="n">
        <v>0</v>
      </c>
      <c r="Q32" s="3" t="n">
        <v>0</v>
      </c>
      <c r="R32" s="3">
        <f>L32*M32/1024</f>
        <v/>
      </c>
      <c r="S32" s="3">
        <f>C32*D32*G32/128</f>
        <v/>
      </c>
      <c r="T32" s="3">
        <f>(S32/$Y$2)/1000</f>
        <v/>
      </c>
      <c r="U32" s="26">
        <f>((O32*8*1024)/$T32)/1000</f>
        <v/>
      </c>
      <c r="V32" s="26">
        <f>((P32*8*1024)/$T32)/1000</f>
        <v/>
      </c>
      <c r="W32" s="26">
        <f>((Q32*8*1024)/$T32)/1000</f>
        <v/>
      </c>
      <c r="X32" s="26">
        <f>((R32*8*1024)/$T32)/1000</f>
        <v/>
      </c>
    </row>
    <row r="33">
      <c r="A33" s="7" t="inlineStr">
        <is>
          <t>out proj D-&gt;D</t>
        </is>
      </c>
      <c r="B33" s="7" t="inlineStr">
        <is>
          <t>accumulate</t>
        </is>
      </c>
      <c r="C33" s="11" t="n">
        <v>256</v>
      </c>
      <c r="D33" s="11" t="n">
        <v>512</v>
      </c>
      <c r="E33" s="11" t="n">
        <v>0</v>
      </c>
      <c r="F33" s="2" t="n">
        <v>0</v>
      </c>
      <c r="G33" s="2" t="n">
        <v>256</v>
      </c>
      <c r="H33" s="2" t="n">
        <v>0</v>
      </c>
      <c r="I33" s="3" t="n">
        <v>0</v>
      </c>
      <c r="J33" s="3" t="n">
        <v>0</v>
      </c>
      <c r="K33" s="3" t="n">
        <v>0</v>
      </c>
      <c r="L33" s="13" t="n">
        <v>256</v>
      </c>
      <c r="M33" s="13" t="n">
        <v>512</v>
      </c>
      <c r="N33" s="13" t="n">
        <v>0</v>
      </c>
      <c r="O33" s="3">
        <f>C33*D33/1024</f>
        <v/>
      </c>
      <c r="P33" s="3" t="n">
        <v>0</v>
      </c>
      <c r="Q33" s="3" t="n">
        <v>0</v>
      </c>
      <c r="R33" s="3">
        <f>L33*M33/1024</f>
        <v/>
      </c>
      <c r="S33" s="3">
        <f>C33*D33*G33/128</f>
        <v/>
      </c>
      <c r="T33" s="3">
        <f>(S33/$Y$2)/1000</f>
        <v/>
      </c>
      <c r="U33" s="26">
        <f>((O33*8*1024)/$T33)/1000</f>
        <v/>
      </c>
      <c r="V33" s="26">
        <f>((P33*8*1024)/$T33)/1000</f>
        <v/>
      </c>
      <c r="W33" s="26">
        <f>((Q33*8*1024)/$T33)/1000</f>
        <v/>
      </c>
      <c r="X33" s="26">
        <f>((R33*8*1024)/$T33)/1000</f>
        <v/>
      </c>
    </row>
    <row r="34">
      <c r="A34" s="7" t="inlineStr">
        <is>
          <t>Residual x+=msg</t>
        </is>
      </c>
      <c r="B34" s="7" t="inlineStr">
        <is>
          <t>add</t>
        </is>
      </c>
      <c r="C34" s="11" t="n">
        <v>256</v>
      </c>
      <c r="D34" s="11" t="n">
        <v>512</v>
      </c>
      <c r="E34" s="11" t="n">
        <v>0</v>
      </c>
      <c r="F34" s="2" t="n">
        <v>0</v>
      </c>
      <c r="G34" s="2" t="n">
        <v>0</v>
      </c>
      <c r="H34" s="2" t="n">
        <v>0</v>
      </c>
      <c r="I34" s="3" t="n">
        <v>0</v>
      </c>
      <c r="J34" s="3" t="n">
        <v>0</v>
      </c>
      <c r="K34" s="3" t="n">
        <v>0</v>
      </c>
      <c r="L34" s="13" t="n">
        <v>256</v>
      </c>
      <c r="M34" s="13" t="n">
        <v>512</v>
      </c>
      <c r="N34" s="13" t="n">
        <v>0</v>
      </c>
      <c r="O34" s="3">
        <f>C34*D34/1024</f>
        <v/>
      </c>
      <c r="P34" s="3" t="n">
        <v>0</v>
      </c>
      <c r="Q34" s="3" t="n">
        <v>0</v>
      </c>
      <c r="R34" s="3">
        <f>L34*M34/1024</f>
        <v/>
      </c>
      <c r="S34" s="3">
        <f>C34*D34/128</f>
        <v/>
      </c>
      <c r="T34" s="3">
        <f>(S34/$Y$2)/1000</f>
        <v/>
      </c>
      <c r="U34" s="26">
        <f>((O34*8*1024)/$T34)/1000</f>
        <v/>
      </c>
      <c r="V34" s="26">
        <f>((P34*8*1024)/$T34)/1000</f>
        <v/>
      </c>
      <c r="W34" s="26">
        <f>((Q34*8*1024)/$T34)/1000</f>
        <v/>
      </c>
      <c r="X34" s="26">
        <f>((R34*8*1024)/$T34)/1000</f>
        <v/>
      </c>
    </row>
    <row r="35">
      <c r="A35" s="7" t="inlineStr">
        <is>
          <t>merge MLP 2D-&gt;2D</t>
        </is>
      </c>
      <c r="B35" s="7" t="inlineStr">
        <is>
          <t>multiply</t>
        </is>
      </c>
      <c r="C35" s="11" t="n">
        <v>512</v>
      </c>
      <c r="D35" s="11" t="n">
        <v>512</v>
      </c>
      <c r="E35" s="11" t="n">
        <v>0</v>
      </c>
      <c r="F35" s="2" t="n">
        <v>0</v>
      </c>
      <c r="G35" s="2" t="n">
        <v>512</v>
      </c>
      <c r="H35" s="2" t="n">
        <v>0</v>
      </c>
      <c r="I35" s="3" t="n">
        <v>0</v>
      </c>
      <c r="J35" s="3" t="n">
        <v>0</v>
      </c>
      <c r="K35" s="3" t="n">
        <v>0</v>
      </c>
      <c r="L35" s="13" t="n">
        <v>512</v>
      </c>
      <c r="M35" s="13" t="n">
        <v>512</v>
      </c>
      <c r="N35" s="13" t="n">
        <v>0</v>
      </c>
      <c r="O35" s="3">
        <f>C35*D35/1024</f>
        <v/>
      </c>
      <c r="P35" s="3" t="n">
        <v>0</v>
      </c>
      <c r="Q35" s="3" t="n">
        <v>0</v>
      </c>
      <c r="R35" s="3">
        <f>L35*M35/1024</f>
        <v/>
      </c>
      <c r="S35" s="3">
        <f>C35*D35*G35/128</f>
        <v/>
      </c>
      <c r="T35" s="3">
        <f>(S35/$Y$2)/1000</f>
        <v/>
      </c>
      <c r="U35" s="26">
        <f>((O35*8*1024)/$T35)/1000</f>
        <v/>
      </c>
      <c r="V35" s="26">
        <f>((P35*8*1024)/$T35)/1000</f>
        <v/>
      </c>
      <c r="W35" s="26">
        <f>((Q35*8*1024)/$T35)/1000</f>
        <v/>
      </c>
      <c r="X35" s="26">
        <f>((R35*8*1024)/$T35)/1000</f>
        <v/>
      </c>
    </row>
    <row r="36">
      <c r="A36" s="7" t="inlineStr">
        <is>
          <t>merge MLP 2D-&gt;2D</t>
        </is>
      </c>
      <c r="B36" s="7" t="inlineStr">
        <is>
          <t>accumulate</t>
        </is>
      </c>
      <c r="C36" s="11" t="n">
        <v>512</v>
      </c>
      <c r="D36" s="11" t="n">
        <v>512</v>
      </c>
      <c r="E36" s="11" t="n">
        <v>0</v>
      </c>
      <c r="F36" s="2" t="n">
        <v>0</v>
      </c>
      <c r="G36" s="2" t="n">
        <v>512</v>
      </c>
      <c r="H36" s="2" t="n">
        <v>0</v>
      </c>
      <c r="I36" s="3" t="n">
        <v>0</v>
      </c>
      <c r="J36" s="3" t="n">
        <v>0</v>
      </c>
      <c r="K36" s="3" t="n">
        <v>0</v>
      </c>
      <c r="L36" s="13" t="n">
        <v>512</v>
      </c>
      <c r="M36" s="13" t="n">
        <v>512</v>
      </c>
      <c r="N36" s="13" t="n">
        <v>0</v>
      </c>
      <c r="O36" s="3">
        <f>C36*D36/1024</f>
        <v/>
      </c>
      <c r="P36" s="3" t="n">
        <v>0</v>
      </c>
      <c r="Q36" s="3" t="n">
        <v>0</v>
      </c>
      <c r="R36" s="3">
        <f>L36*M36/1024</f>
        <v/>
      </c>
      <c r="S36" s="3">
        <f>C36*D36*G36/128</f>
        <v/>
      </c>
      <c r="T36" s="3">
        <f>(S36/$Y$2)/1000</f>
        <v/>
      </c>
      <c r="U36" s="26">
        <f>((O36*8*1024)/$T36)/1000</f>
        <v/>
      </c>
      <c r="V36" s="26">
        <f>((P36*8*1024)/$T36)/1000</f>
        <v/>
      </c>
      <c r="W36" s="26">
        <f>((Q36*8*1024)/$T36)/1000</f>
        <v/>
      </c>
      <c r="X36" s="26">
        <f>((R36*8*1024)/$T36)/1000</f>
        <v/>
      </c>
    </row>
    <row r="37">
      <c r="A37" s="7" t="inlineStr">
        <is>
          <t>merge MLP relu</t>
        </is>
      </c>
      <c r="B37" s="7" t="inlineStr">
        <is>
          <t>relu</t>
        </is>
      </c>
      <c r="C37" s="11" t="n">
        <v>512</v>
      </c>
      <c r="D37" s="11" t="n">
        <v>512</v>
      </c>
      <c r="E37" s="11" t="n">
        <v>0</v>
      </c>
      <c r="F37" s="2" t="n">
        <v>0</v>
      </c>
      <c r="G37" s="2" t="n">
        <v>0</v>
      </c>
      <c r="H37" s="2" t="n">
        <v>0</v>
      </c>
      <c r="I37" s="3" t="n">
        <v>0</v>
      </c>
      <c r="J37" s="3" t="n">
        <v>0</v>
      </c>
      <c r="K37" s="3" t="n">
        <v>0</v>
      </c>
      <c r="L37" s="13" t="n">
        <v>512</v>
      </c>
      <c r="M37" s="13" t="n">
        <v>512</v>
      </c>
      <c r="N37" s="13" t="n">
        <v>0</v>
      </c>
      <c r="O37" s="3">
        <f>C37*D37/1024</f>
        <v/>
      </c>
      <c r="P37" s="3" t="n">
        <v>0</v>
      </c>
      <c r="Q37" s="3" t="n">
        <v>0</v>
      </c>
      <c r="R37" s="3">
        <f>L37*M37/1024</f>
        <v/>
      </c>
      <c r="S37" s="3">
        <f>C37*D37/128</f>
        <v/>
      </c>
      <c r="T37" s="3">
        <f>(S37/$Y$2)/1000</f>
        <v/>
      </c>
      <c r="U37" s="26">
        <f>((O37*8*1024)/$T37)/1000</f>
        <v/>
      </c>
      <c r="V37" s="26">
        <f>((P37*8*1024)/$T37)/1000</f>
        <v/>
      </c>
      <c r="W37" s="26">
        <f>((Q37*8*1024)/$T37)/1000</f>
        <v/>
      </c>
      <c r="X37" s="26">
        <f>((R37*8*1024)/$T37)/1000</f>
        <v/>
      </c>
    </row>
    <row r="38">
      <c r="A38" s="7" t="inlineStr">
        <is>
          <t>merge MLP 2D-&gt;D</t>
        </is>
      </c>
      <c r="B38" s="7" t="inlineStr">
        <is>
          <t>multiply</t>
        </is>
      </c>
      <c r="C38" s="11" t="n">
        <v>256</v>
      </c>
      <c r="D38" s="11" t="n">
        <v>512</v>
      </c>
      <c r="E38" s="11" t="n">
        <v>0</v>
      </c>
      <c r="F38" s="2" t="n">
        <v>0</v>
      </c>
      <c r="G38" s="2" t="n">
        <v>512</v>
      </c>
      <c r="H38" s="2" t="n">
        <v>0</v>
      </c>
      <c r="I38" s="3" t="n">
        <v>0</v>
      </c>
      <c r="J38" s="3" t="n">
        <v>0</v>
      </c>
      <c r="K38" s="3" t="n">
        <v>0</v>
      </c>
      <c r="L38" s="13" t="n">
        <v>256</v>
      </c>
      <c r="M38" s="13" t="n">
        <v>512</v>
      </c>
      <c r="N38" s="13" t="n">
        <v>0</v>
      </c>
      <c r="O38" s="3">
        <f>C38*D38/1024</f>
        <v/>
      </c>
      <c r="P38" s="3" t="n">
        <v>0</v>
      </c>
      <c r="Q38" s="3" t="n">
        <v>0</v>
      </c>
      <c r="R38" s="3">
        <f>L38*M38/1024</f>
        <v/>
      </c>
      <c r="S38" s="3">
        <f>C38*D38*G38/128</f>
        <v/>
      </c>
      <c r="T38" s="3">
        <f>(S38/$Y$2)/1000</f>
        <v/>
      </c>
      <c r="U38" s="26">
        <f>((O38*8*1024)/$T38)/1000</f>
        <v/>
      </c>
      <c r="V38" s="26">
        <f>((P38*8*1024)/$T38)/1000</f>
        <v/>
      </c>
      <c r="W38" s="26">
        <f>((Q38*8*1024)/$T38)/1000</f>
        <v/>
      </c>
      <c r="X38" s="26">
        <f>((R38*8*1024)/$T38)/1000</f>
        <v/>
      </c>
    </row>
    <row r="39">
      <c r="A39" s="7" t="inlineStr">
        <is>
          <t>merge MLP 2D-&gt;D</t>
        </is>
      </c>
      <c r="B39" s="7" t="inlineStr">
        <is>
          <t>accumulate</t>
        </is>
      </c>
      <c r="C39" s="11" t="n">
        <v>256</v>
      </c>
      <c r="D39" s="11" t="n">
        <v>512</v>
      </c>
      <c r="E39" s="11" t="n">
        <v>0</v>
      </c>
      <c r="F39" s="2" t="n">
        <v>0</v>
      </c>
      <c r="G39" s="2" t="n">
        <v>512</v>
      </c>
      <c r="H39" s="2" t="n">
        <v>0</v>
      </c>
      <c r="I39" s="3" t="n">
        <v>0</v>
      </c>
      <c r="J39" s="3" t="n">
        <v>0</v>
      </c>
      <c r="K39" s="3" t="n">
        <v>0</v>
      </c>
      <c r="L39" s="13" t="n">
        <v>256</v>
      </c>
      <c r="M39" s="13" t="n">
        <v>512</v>
      </c>
      <c r="N39" s="13" t="n">
        <v>0</v>
      </c>
      <c r="O39" s="3">
        <f>C39*D39/1024</f>
        <v/>
      </c>
      <c r="P39" s="3" t="n">
        <v>0</v>
      </c>
      <c r="Q39" s="3" t="n">
        <v>0</v>
      </c>
      <c r="R39" s="3">
        <f>L39*M39/1024</f>
        <v/>
      </c>
      <c r="S39" s="3">
        <f>C39*D39*G39/128</f>
        <v/>
      </c>
      <c r="T39" s="3">
        <f>(S39/$Y$2)/1000</f>
        <v/>
      </c>
      <c r="U39" s="26">
        <f>((O39*8*1024)/$T39)/1000</f>
        <v/>
      </c>
      <c r="V39" s="26">
        <f>((P39*8*1024)/$T39)/1000</f>
        <v/>
      </c>
      <c r="W39" s="26">
        <f>((Q39*8*1024)/$T39)/1000</f>
        <v/>
      </c>
      <c r="X39" s="26">
        <f>((R39*8*1024)/$T39)/1000</f>
        <v/>
      </c>
    </row>
    <row r="40">
      <c r="A40" s="7" t="inlineStr">
        <is>
          <t>Residual x+=mlp</t>
        </is>
      </c>
      <c r="B40" s="7" t="inlineStr">
        <is>
          <t>add</t>
        </is>
      </c>
      <c r="C40" s="11" t="n">
        <v>256</v>
      </c>
      <c r="D40" s="11" t="n">
        <v>512</v>
      </c>
      <c r="E40" s="11" t="n">
        <v>0</v>
      </c>
      <c r="F40" s="2" t="n">
        <v>0</v>
      </c>
      <c r="G40" s="2" t="n">
        <v>0</v>
      </c>
      <c r="H40" s="2" t="n">
        <v>0</v>
      </c>
      <c r="I40" s="3" t="n">
        <v>0</v>
      </c>
      <c r="J40" s="3" t="n">
        <v>0</v>
      </c>
      <c r="K40" s="3" t="n">
        <v>0</v>
      </c>
      <c r="L40" s="13" t="n">
        <v>256</v>
      </c>
      <c r="M40" s="13" t="n">
        <v>512</v>
      </c>
      <c r="N40" s="13" t="n">
        <v>0</v>
      </c>
      <c r="O40" s="3">
        <f>C40*D40/1024</f>
        <v/>
      </c>
      <c r="P40" s="3" t="n">
        <v>0</v>
      </c>
      <c r="Q40" s="3" t="n">
        <v>0</v>
      </c>
      <c r="R40" s="3">
        <f>L40*M40/1024</f>
        <v/>
      </c>
      <c r="S40" s="3">
        <f>C40*D40/128</f>
        <v/>
      </c>
      <c r="T40" s="3">
        <f>(S40/$Y$2)/1000</f>
        <v/>
      </c>
      <c r="U40" s="26">
        <f>((O40*8*1024)/$T40)/1000</f>
        <v/>
      </c>
      <c r="V40" s="26">
        <f>((P40*8*1024)/$T40)/1000</f>
        <v/>
      </c>
      <c r="W40" s="26">
        <f>((Q40*8*1024)/$T40)/1000</f>
        <v/>
      </c>
      <c r="X40" s="26">
        <f>((R40*8*1024)/$T40)/1000</f>
        <v/>
      </c>
      <c r="Y40" s="17" t="inlineStr">
        <is>
          <t>GNN total [us] -&gt;</t>
        </is>
      </c>
      <c r="Z40" s="17">
        <f>36*(SUM(T12:T40)+3*(SUM(T21:T30)))</f>
        <v/>
      </c>
    </row>
    <row r="41">
      <c r="A41" s="7" t="inlineStr">
        <is>
          <t>final proj D-&gt;D</t>
        </is>
      </c>
      <c r="B41" s="7" t="inlineStr">
        <is>
          <t>multiply</t>
        </is>
      </c>
      <c r="C41" s="11" t="n">
        <v>256</v>
      </c>
      <c r="D41" s="11" t="n">
        <v>512</v>
      </c>
      <c r="E41" s="11" t="n">
        <v>0</v>
      </c>
      <c r="F41" s="2" t="n">
        <v>0</v>
      </c>
      <c r="G41" s="2" t="n">
        <v>256</v>
      </c>
      <c r="H41" s="2" t="n">
        <v>0</v>
      </c>
      <c r="I41" s="3" t="n">
        <v>0</v>
      </c>
      <c r="J41" s="3" t="n">
        <v>0</v>
      </c>
      <c r="K41" s="3" t="n">
        <v>0</v>
      </c>
      <c r="L41" s="13" t="n">
        <v>256</v>
      </c>
      <c r="M41" s="13" t="n">
        <v>512</v>
      </c>
      <c r="N41" s="13" t="n">
        <v>0</v>
      </c>
      <c r="O41" s="3">
        <f>C41*D41/1024</f>
        <v/>
      </c>
      <c r="P41" s="3" t="n">
        <v>0</v>
      </c>
      <c r="Q41" s="3" t="n">
        <v>0</v>
      </c>
      <c r="R41" s="3">
        <f>L41*M41/1024</f>
        <v/>
      </c>
      <c r="S41" s="3">
        <f>C41*D41*G41/128</f>
        <v/>
      </c>
      <c r="T41" s="3">
        <f>(S41/$Y$2)/1000</f>
        <v/>
      </c>
      <c r="U41" s="26">
        <f>((O41*8*1024)/$T41)/1000</f>
        <v/>
      </c>
      <c r="V41" s="26">
        <f>((P41*8*1024)/$T41)/1000</f>
        <v/>
      </c>
      <c r="W41" s="26">
        <f>((Q41*8*1024)/$T41)/1000</f>
        <v/>
      </c>
      <c r="X41" s="26">
        <f>((R41*8*1024)/$T41)/1000</f>
        <v/>
      </c>
    </row>
    <row r="42">
      <c r="A42" s="7" t="inlineStr">
        <is>
          <t>final proj D-&gt;D</t>
        </is>
      </c>
      <c r="B42" s="7" t="inlineStr">
        <is>
          <t>accumulate</t>
        </is>
      </c>
      <c r="C42" s="11" t="n">
        <v>256</v>
      </c>
      <c r="D42" s="11" t="n">
        <v>512</v>
      </c>
      <c r="E42" s="11" t="n">
        <v>0</v>
      </c>
      <c r="F42" s="2" t="n">
        <v>0</v>
      </c>
      <c r="G42" s="2" t="n">
        <v>256</v>
      </c>
      <c r="H42" s="2" t="n">
        <v>0</v>
      </c>
      <c r="I42" s="3" t="n">
        <v>0</v>
      </c>
      <c r="J42" s="3" t="n">
        <v>0</v>
      </c>
      <c r="K42" s="3" t="n">
        <v>0</v>
      </c>
      <c r="L42" s="13" t="n">
        <v>256</v>
      </c>
      <c r="M42" s="13" t="n">
        <v>512</v>
      </c>
      <c r="N42" s="13" t="n">
        <v>0</v>
      </c>
      <c r="O42" s="3">
        <f>C42*D42/1024</f>
        <v/>
      </c>
      <c r="P42" s="3" t="n">
        <v>0</v>
      </c>
      <c r="Q42" s="3" t="n">
        <v>0</v>
      </c>
      <c r="R42" s="3">
        <f>L42*M42/1024</f>
        <v/>
      </c>
      <c r="S42" s="3">
        <f>C42*D42*G42/128</f>
        <v/>
      </c>
      <c r="T42" s="3">
        <f>(S42/$Y$2)/1000</f>
        <v/>
      </c>
      <c r="U42" s="26">
        <f>((O42*8*1024)/$T42)/1000</f>
        <v/>
      </c>
      <c r="V42" s="26">
        <f>((P42*8*1024)/$T42)/1000</f>
        <v/>
      </c>
      <c r="W42" s="26">
        <f>((Q42*8*1024)/$T42)/1000</f>
        <v/>
      </c>
      <c r="X42" s="26">
        <f>((R42*8*1024)/$T42)/1000</f>
        <v/>
      </c>
    </row>
    <row r="43">
      <c r="A43" s="7" t="inlineStr">
        <is>
          <t>score = A^T B</t>
        </is>
      </c>
      <c r="B43" s="7" t="inlineStr">
        <is>
          <t>multiply</t>
        </is>
      </c>
      <c r="C43" s="11" t="n">
        <v>512</v>
      </c>
      <c r="D43" s="11" t="n">
        <v>512</v>
      </c>
      <c r="E43" s="11" t="n">
        <v>0</v>
      </c>
      <c r="F43" s="2" t="n">
        <v>0</v>
      </c>
      <c r="G43" s="2" t="n">
        <v>256</v>
      </c>
      <c r="H43" s="2" t="n">
        <v>0</v>
      </c>
      <c r="I43" s="3" t="n">
        <v>0</v>
      </c>
      <c r="J43" s="3" t="n">
        <v>0</v>
      </c>
      <c r="K43" s="3" t="n">
        <v>0</v>
      </c>
      <c r="L43" s="13" t="n">
        <v>512</v>
      </c>
      <c r="M43" s="13" t="n">
        <v>512</v>
      </c>
      <c r="N43" s="13" t="n">
        <v>0</v>
      </c>
      <c r="O43" s="3">
        <f>C43*D43/1024</f>
        <v/>
      </c>
      <c r="P43" s="3" t="n">
        <v>0</v>
      </c>
      <c r="Q43" s="3" t="n">
        <v>0</v>
      </c>
      <c r="R43" s="3">
        <f>L43*M43/1024</f>
        <v/>
      </c>
      <c r="S43" s="3">
        <f>C43*D43*G43/128</f>
        <v/>
      </c>
      <c r="T43" s="3">
        <f>(S43/$Y$2)/1000</f>
        <v/>
      </c>
      <c r="U43" s="26">
        <f>((O43*8*1024)/$T43)/1000</f>
        <v/>
      </c>
      <c r="V43" s="26">
        <f>((P43*8*1024)/$T43)/1000</f>
        <v/>
      </c>
      <c r="W43" s="26">
        <f>((Q43*8*1024)/$T43)/1000</f>
        <v/>
      </c>
      <c r="X43" s="26">
        <f>((R43*8*1024)/$T43)/1000</f>
        <v/>
      </c>
    </row>
    <row r="44">
      <c r="A44" s="7" t="inlineStr">
        <is>
          <t>score = A^T B</t>
        </is>
      </c>
      <c r="B44" s="7" t="inlineStr">
        <is>
          <t>accumulate</t>
        </is>
      </c>
      <c r="C44" s="11" t="n">
        <v>512</v>
      </c>
      <c r="D44" s="11" t="n">
        <v>512</v>
      </c>
      <c r="E44" s="11" t="n">
        <v>0</v>
      </c>
      <c r="F44" s="2" t="n">
        <v>0</v>
      </c>
      <c r="G44" s="2" t="n">
        <v>256</v>
      </c>
      <c r="H44" s="2" t="n">
        <v>0</v>
      </c>
      <c r="I44" s="3" t="n">
        <v>0</v>
      </c>
      <c r="J44" s="3" t="n">
        <v>0</v>
      </c>
      <c r="K44" s="3" t="n">
        <v>0</v>
      </c>
      <c r="L44" s="13" t="n">
        <v>512</v>
      </c>
      <c r="M44" s="13" t="n">
        <v>512</v>
      </c>
      <c r="N44" s="13" t="n">
        <v>0</v>
      </c>
      <c r="O44" s="3">
        <f>C44*D44/1024</f>
        <v/>
      </c>
      <c r="P44" s="3" t="n">
        <v>0</v>
      </c>
      <c r="Q44" s="3" t="n">
        <v>0</v>
      </c>
      <c r="R44" s="3">
        <f>L44*M44/1024</f>
        <v/>
      </c>
      <c r="S44" s="3">
        <f>C44*D44*G44/128</f>
        <v/>
      </c>
      <c r="T44" s="3">
        <f>(S44/$Y$2)/1000</f>
        <v/>
      </c>
      <c r="U44" s="26">
        <f>((O44*8*1024)/$T44)/1000</f>
        <v/>
      </c>
      <c r="V44" s="26">
        <f>((P44*8*1024)/$T44)/1000</f>
        <v/>
      </c>
      <c r="W44" s="26">
        <f>((Q44*8*1024)/$T44)/1000</f>
        <v/>
      </c>
      <c r="X44" s="26">
        <f>((R44*8*1024)/$T44)/1000</f>
        <v/>
      </c>
    </row>
    <row r="45">
      <c r="A45" s="7" t="inlineStr">
        <is>
          <t>scale 1/sqrt(d)</t>
        </is>
      </c>
      <c r="B45" s="7" t="inlineStr">
        <is>
          <t>multiply</t>
        </is>
      </c>
      <c r="C45" s="11" t="n">
        <v>512</v>
      </c>
      <c r="D45" s="11" t="n">
        <v>512</v>
      </c>
      <c r="E45" s="11" t="n">
        <v>0</v>
      </c>
      <c r="F45" s="2" t="n">
        <v>0</v>
      </c>
      <c r="G45" s="2" t="n">
        <v>0</v>
      </c>
      <c r="H45" s="2" t="n">
        <v>0</v>
      </c>
      <c r="I45" s="3" t="n">
        <v>0</v>
      </c>
      <c r="J45" s="3" t="n">
        <v>0</v>
      </c>
      <c r="K45" s="3" t="n">
        <v>0</v>
      </c>
      <c r="L45" s="13" t="n">
        <v>512</v>
      </c>
      <c r="M45" s="13" t="n">
        <v>512</v>
      </c>
      <c r="N45" s="13" t="n">
        <v>0</v>
      </c>
      <c r="O45" s="3">
        <f>C45*D45/1024</f>
        <v/>
      </c>
      <c r="P45" s="3" t="n">
        <v>0</v>
      </c>
      <c r="Q45" s="3" t="n">
        <v>0</v>
      </c>
      <c r="R45" s="3">
        <f>L45*M45/1024</f>
        <v/>
      </c>
      <c r="S45" s="3">
        <f>C45*D45/128</f>
        <v/>
      </c>
      <c r="T45" s="3">
        <f>(S45/$Y$2)/1000</f>
        <v/>
      </c>
      <c r="U45" s="26">
        <f>((O45*8*1024)/$T45)/1000</f>
        <v/>
      </c>
      <c r="V45" s="26">
        <f>((P45*8*1024)/$T45)/1000</f>
        <v/>
      </c>
      <c r="W45" s="26">
        <f>((Q45*8*1024)/$T45)/1000</f>
        <v/>
      </c>
      <c r="X45" s="26">
        <f>((R45*8*1024)/$T45)/1000</f>
        <v/>
      </c>
    </row>
    <row r="46">
      <c r="A46" s="7" t="inlineStr">
        <is>
          <t>dustbin augment</t>
        </is>
      </c>
      <c r="B46" s="7" t="inlineStr">
        <is>
          <t>reshape</t>
        </is>
      </c>
      <c r="C46" s="11" t="n">
        <v>513</v>
      </c>
      <c r="D46" s="11" t="n">
        <v>513</v>
      </c>
      <c r="E46" s="11" t="n">
        <v>0</v>
      </c>
      <c r="F46" s="2" t="n">
        <v>0</v>
      </c>
      <c r="G46" s="2" t="n">
        <v>0</v>
      </c>
      <c r="H46" s="2" t="n">
        <v>0</v>
      </c>
      <c r="I46" s="3" t="n">
        <v>0</v>
      </c>
      <c r="J46" s="3" t="n">
        <v>0</v>
      </c>
      <c r="K46" s="3" t="n">
        <v>0</v>
      </c>
      <c r="L46" s="13" t="n">
        <v>513</v>
      </c>
      <c r="M46" s="13" t="n">
        <v>513</v>
      </c>
      <c r="N46" s="13" t="n">
        <v>0</v>
      </c>
      <c r="O46" s="3">
        <f>C46*D46/1024</f>
        <v/>
      </c>
      <c r="P46" s="3" t="n">
        <v>0</v>
      </c>
      <c r="Q46" s="3" t="n">
        <v>0</v>
      </c>
      <c r="R46" s="3">
        <f>L46*M46/1024</f>
        <v/>
      </c>
      <c r="S46" s="3" t="inlineStr">
        <is>
          <t>0</t>
        </is>
      </c>
      <c r="T46" s="3" t="n">
        <v>0</v>
      </c>
      <c r="U46" s="26" t="n">
        <v>0</v>
      </c>
      <c r="V46" s="26" t="n">
        <v>0</v>
      </c>
      <c r="W46" s="26" t="n">
        <v>0</v>
      </c>
      <c r="X46" s="26" t="n">
        <v>0</v>
      </c>
    </row>
    <row r="47">
      <c r="A47" s="7" t="inlineStr">
        <is>
          <t>Sinkhorn row norm</t>
        </is>
      </c>
      <c r="B47" s="7" t="inlineStr">
        <is>
          <t>max</t>
        </is>
      </c>
      <c r="C47" s="11" t="n">
        <v>513</v>
      </c>
      <c r="D47" s="11" t="n">
        <v>513</v>
      </c>
      <c r="E47" s="11" t="n">
        <v>0</v>
      </c>
      <c r="F47" s="2" t="n">
        <v>0</v>
      </c>
      <c r="G47" s="2" t="n">
        <v>0</v>
      </c>
      <c r="H47" s="2" t="n">
        <v>0</v>
      </c>
      <c r="I47" s="3" t="n">
        <v>0</v>
      </c>
      <c r="J47" s="3" t="n">
        <v>0</v>
      </c>
      <c r="K47" s="3" t="n">
        <v>0</v>
      </c>
      <c r="L47" s="13" t="n">
        <v>513</v>
      </c>
      <c r="M47" s="13" t="n">
        <v>513</v>
      </c>
      <c r="N47" s="13" t="n">
        <v>0</v>
      </c>
      <c r="O47" s="3">
        <f>C47*D47/1024</f>
        <v/>
      </c>
      <c r="P47" s="3" t="n">
        <v>0</v>
      </c>
      <c r="Q47" s="3" t="n">
        <v>0</v>
      </c>
      <c r="R47" s="3">
        <f>L47*M47/1024</f>
        <v/>
      </c>
      <c r="S47" s="3">
        <f>C47*D47/128</f>
        <v/>
      </c>
      <c r="T47" s="3">
        <f>(S47/$Y$2)/1000</f>
        <v/>
      </c>
      <c r="U47" s="26">
        <f>((O47*8*1024)/$T47)/1000</f>
        <v/>
      </c>
      <c r="V47" s="26">
        <f>((P47*8*1024)/$T47)/1000</f>
        <v/>
      </c>
      <c r="W47" s="26">
        <f>((Q47*8*1024)/$T47)/1000</f>
        <v/>
      </c>
      <c r="X47" s="26">
        <f>((R47*8*1024)/$T47)/1000</f>
        <v/>
      </c>
    </row>
    <row r="48">
      <c r="A48" s="7" t="inlineStr">
        <is>
          <t>Sinkhorn row norm</t>
        </is>
      </c>
      <c r="B48" s="7" t="inlineStr">
        <is>
          <t>exp2</t>
        </is>
      </c>
      <c r="C48" s="11" t="n">
        <v>513</v>
      </c>
      <c r="D48" s="11" t="n">
        <v>513</v>
      </c>
      <c r="E48" s="11" t="n">
        <v>0</v>
      </c>
      <c r="F48" s="2" t="n">
        <v>0</v>
      </c>
      <c r="G48" s="2" t="n">
        <v>0</v>
      </c>
      <c r="H48" s="2" t="n">
        <v>0</v>
      </c>
      <c r="I48" s="3" t="n">
        <v>0</v>
      </c>
      <c r="J48" s="3" t="n">
        <v>0</v>
      </c>
      <c r="K48" s="3" t="n">
        <v>0</v>
      </c>
      <c r="L48" s="13" t="n">
        <v>513</v>
      </c>
      <c r="M48" s="13" t="n">
        <v>513</v>
      </c>
      <c r="N48" s="13" t="n">
        <v>0</v>
      </c>
      <c r="O48" s="3">
        <f>C48*D48/1024</f>
        <v/>
      </c>
      <c r="P48" s="3" t="n">
        <v>0</v>
      </c>
      <c r="Q48" s="3" t="n">
        <v>0</v>
      </c>
      <c r="R48" s="3">
        <f>L48*M48/1024</f>
        <v/>
      </c>
      <c r="S48" s="3">
        <f>C48*D48/128</f>
        <v/>
      </c>
      <c r="T48" s="3">
        <f>(S48/$Y$2)/1000</f>
        <v/>
      </c>
      <c r="U48" s="26">
        <f>((O48*8*1024)/$T48)/1000</f>
        <v/>
      </c>
      <c r="V48" s="26">
        <f>((P48*8*1024)/$T48)/1000</f>
        <v/>
      </c>
      <c r="W48" s="26">
        <f>((Q48*8*1024)/$T48)/1000</f>
        <v/>
      </c>
      <c r="X48" s="26">
        <f>((R48*8*1024)/$T48)/1000</f>
        <v/>
      </c>
    </row>
    <row r="49">
      <c r="A49" s="7" t="inlineStr">
        <is>
          <t>Sinkhorn row norm</t>
        </is>
      </c>
      <c r="B49" s="7" t="inlineStr">
        <is>
          <t>sum</t>
        </is>
      </c>
      <c r="C49" s="11" t="n">
        <v>513</v>
      </c>
      <c r="D49" s="11" t="n">
        <v>513</v>
      </c>
      <c r="E49" s="11" t="n">
        <v>0</v>
      </c>
      <c r="F49" s="2" t="n">
        <v>0</v>
      </c>
      <c r="G49" s="2" t="n">
        <v>0</v>
      </c>
      <c r="H49" s="2" t="n">
        <v>0</v>
      </c>
      <c r="I49" s="3" t="n">
        <v>0</v>
      </c>
      <c r="J49" s="3" t="n">
        <v>0</v>
      </c>
      <c r="K49" s="3" t="n">
        <v>0</v>
      </c>
      <c r="L49" s="13" t="n">
        <v>513</v>
      </c>
      <c r="M49" s="13" t="n">
        <v>513</v>
      </c>
      <c r="N49" s="13" t="n">
        <v>0</v>
      </c>
      <c r="O49" s="3">
        <f>C49*D49/1024</f>
        <v/>
      </c>
      <c r="P49" s="3" t="n">
        <v>0</v>
      </c>
      <c r="Q49" s="3" t="n">
        <v>0</v>
      </c>
      <c r="R49" s="3">
        <f>L49*M49/1024</f>
        <v/>
      </c>
      <c r="S49" s="3">
        <f>C49*D49/128</f>
        <v/>
      </c>
      <c r="T49" s="3">
        <f>(S49/$Y$2)/1000</f>
        <v/>
      </c>
      <c r="U49" s="26">
        <f>((O49*8*1024)/$T49)/1000</f>
        <v/>
      </c>
      <c r="V49" s="26">
        <f>((P49*8*1024)/$T49)/1000</f>
        <v/>
      </c>
      <c r="W49" s="26">
        <f>((Q49*8*1024)/$T49)/1000</f>
        <v/>
      </c>
      <c r="X49" s="26">
        <f>((R49*8*1024)/$T49)/1000</f>
        <v/>
      </c>
    </row>
    <row r="50">
      <c r="A50" s="7" t="inlineStr">
        <is>
          <t>Sinkhorn row norm</t>
        </is>
      </c>
      <c r="B50" s="7" t="inlineStr">
        <is>
          <t>log</t>
        </is>
      </c>
      <c r="C50" s="11" t="n">
        <v>513</v>
      </c>
      <c r="D50" s="11" t="n">
        <v>513</v>
      </c>
      <c r="E50" s="11" t="n">
        <v>0</v>
      </c>
      <c r="F50" s="2" t="n">
        <v>0</v>
      </c>
      <c r="G50" s="2" t="n">
        <v>0</v>
      </c>
      <c r="H50" s="2" t="n">
        <v>0</v>
      </c>
      <c r="I50" s="3" t="n">
        <v>0</v>
      </c>
      <c r="J50" s="3" t="n">
        <v>0</v>
      </c>
      <c r="K50" s="3" t="n">
        <v>0</v>
      </c>
      <c r="L50" s="13" t="n">
        <v>513</v>
      </c>
      <c r="M50" s="13" t="n">
        <v>513</v>
      </c>
      <c r="N50" s="13" t="n">
        <v>0</v>
      </c>
      <c r="O50" s="3">
        <f>C50*D50/1024</f>
        <v/>
      </c>
      <c r="P50" s="3" t="n">
        <v>0</v>
      </c>
      <c r="Q50" s="3" t="n">
        <v>0</v>
      </c>
      <c r="R50" s="3">
        <f>L50*M50/1024</f>
        <v/>
      </c>
      <c r="S50" s="3">
        <f>C50*D50/128</f>
        <v/>
      </c>
      <c r="T50" s="3">
        <f>(S50/$Y$2)/1000</f>
        <v/>
      </c>
      <c r="U50" s="26">
        <f>((O50*8*1024)/$T50)/1000</f>
        <v/>
      </c>
      <c r="V50" s="26">
        <f>((P50*8*1024)/$T50)/1000</f>
        <v/>
      </c>
      <c r="W50" s="26">
        <f>((Q50*8*1024)/$T50)/1000</f>
        <v/>
      </c>
      <c r="X50" s="26">
        <f>((R50*8*1024)/$T50)/1000</f>
        <v/>
      </c>
    </row>
    <row r="51">
      <c r="A51" s="7" t="inlineStr">
        <is>
          <t>Sinkhorn row norm</t>
        </is>
      </c>
      <c r="B51" s="7" t="inlineStr">
        <is>
          <t>subtract</t>
        </is>
      </c>
      <c r="C51" s="11" t="n">
        <v>513</v>
      </c>
      <c r="D51" s="11" t="n">
        <v>513</v>
      </c>
      <c r="E51" s="11" t="n">
        <v>0</v>
      </c>
      <c r="F51" s="2" t="n">
        <v>0</v>
      </c>
      <c r="G51" s="2" t="n">
        <v>0</v>
      </c>
      <c r="H51" s="2" t="n">
        <v>0</v>
      </c>
      <c r="I51" s="3" t="n">
        <v>0</v>
      </c>
      <c r="J51" s="3" t="n">
        <v>0</v>
      </c>
      <c r="K51" s="3" t="n">
        <v>0</v>
      </c>
      <c r="L51" s="13" t="n">
        <v>513</v>
      </c>
      <c r="M51" s="13" t="n">
        <v>513</v>
      </c>
      <c r="N51" s="13" t="n">
        <v>0</v>
      </c>
      <c r="O51" s="3">
        <f>C51*D51/1024</f>
        <v/>
      </c>
      <c r="P51" s="3" t="n">
        <v>0</v>
      </c>
      <c r="Q51" s="3" t="n">
        <v>0</v>
      </c>
      <c r="R51" s="3">
        <f>L51*M51/1024</f>
        <v/>
      </c>
      <c r="S51" s="3">
        <f>C51*D51/128</f>
        <v/>
      </c>
      <c r="T51" s="3">
        <f>(S51/$Y$2)/1000</f>
        <v/>
      </c>
      <c r="U51" s="26">
        <f>((O51*8*1024)/$T51)/1000</f>
        <v/>
      </c>
      <c r="V51" s="26">
        <f>((P51*8*1024)/$T51)/1000</f>
        <v/>
      </c>
      <c r="W51" s="26">
        <f>((Q51*8*1024)/$T51)/1000</f>
        <v/>
      </c>
      <c r="X51" s="26">
        <f>((R51*8*1024)/$T51)/1000</f>
        <v/>
      </c>
    </row>
    <row r="52">
      <c r="A52" s="7" t="inlineStr">
        <is>
          <t>Sinkhorn col transpose (eliminated)</t>
        </is>
      </c>
      <c r="B52" s="7" t="inlineStr">
        <is>
          <t>reshape</t>
        </is>
      </c>
      <c r="C52" s="11" t="n">
        <v>513</v>
      </c>
      <c r="D52" s="11" t="n">
        <v>513</v>
      </c>
      <c r="E52" s="11" t="n">
        <v>0</v>
      </c>
      <c r="F52" s="2" t="n">
        <v>0</v>
      </c>
      <c r="G52" s="2" t="n">
        <v>0</v>
      </c>
      <c r="H52" s="2" t="n">
        <v>0</v>
      </c>
      <c r="I52" s="3" t="n">
        <v>0</v>
      </c>
      <c r="J52" s="3" t="n">
        <v>0</v>
      </c>
      <c r="K52" s="3" t="n">
        <v>0</v>
      </c>
      <c r="L52" s="13" t="n">
        <v>513</v>
      </c>
      <c r="M52" s="13" t="n">
        <v>513</v>
      </c>
      <c r="N52" s="13" t="n">
        <v>0</v>
      </c>
      <c r="O52" s="3">
        <f>C52*D52/1024</f>
        <v/>
      </c>
      <c r="P52" s="3" t="n">
        <v>0</v>
      </c>
      <c r="Q52" s="3" t="n">
        <v>0</v>
      </c>
      <c r="R52" s="3">
        <f>L52*M52/1024</f>
        <v/>
      </c>
      <c r="S52" s="3" t="inlineStr">
        <is>
          <t>0</t>
        </is>
      </c>
      <c r="T52" s="3" t="n">
        <v>0</v>
      </c>
      <c r="U52" s="26" t="n">
        <v>0</v>
      </c>
      <c r="V52" s="26" t="n">
        <v>0</v>
      </c>
      <c r="W52" s="26" t="n">
        <v>0</v>
      </c>
      <c r="X52" s="26" t="n">
        <v>0</v>
      </c>
    </row>
    <row r="53">
      <c r="A53" s="7" t="inlineStr">
        <is>
          <t>Sinkhorn col norm</t>
        </is>
      </c>
      <c r="B53" s="7" t="inlineStr">
        <is>
          <t>max</t>
        </is>
      </c>
      <c r="C53" s="11" t="n">
        <v>513</v>
      </c>
      <c r="D53" s="11" t="n">
        <v>513</v>
      </c>
      <c r="E53" s="11" t="n">
        <v>0</v>
      </c>
      <c r="F53" s="2" t="n">
        <v>0</v>
      </c>
      <c r="G53" s="2" t="n">
        <v>0</v>
      </c>
      <c r="H53" s="2" t="n">
        <v>0</v>
      </c>
      <c r="I53" s="3" t="n">
        <v>0</v>
      </c>
      <c r="J53" s="3" t="n">
        <v>0</v>
      </c>
      <c r="K53" s="3" t="n">
        <v>0</v>
      </c>
      <c r="L53" s="13" t="n">
        <v>513</v>
      </c>
      <c r="M53" s="13" t="n">
        <v>513</v>
      </c>
      <c r="N53" s="13" t="n">
        <v>0</v>
      </c>
      <c r="O53" s="3">
        <f>C53*D53/1024</f>
        <v/>
      </c>
      <c r="P53" s="3" t="n">
        <v>0</v>
      </c>
      <c r="Q53" s="3" t="n">
        <v>0</v>
      </c>
      <c r="R53" s="3">
        <f>L53*M53/1024</f>
        <v/>
      </c>
      <c r="S53" s="3">
        <f>C53*D53/128</f>
        <v/>
      </c>
      <c r="T53" s="3">
        <f>(S53/$Y$2)/1000</f>
        <v/>
      </c>
      <c r="U53" s="26">
        <f>((O53*8*1024)/$T53)/1000</f>
        <v/>
      </c>
      <c r="V53" s="26">
        <f>((P53*8*1024)/$T53)/1000</f>
        <v/>
      </c>
      <c r="W53" s="26">
        <f>((Q53*8*1024)/$T53)/1000</f>
        <v/>
      </c>
      <c r="X53" s="26">
        <f>((R53*8*1024)/$T53)/1000</f>
        <v/>
      </c>
    </row>
    <row r="54">
      <c r="A54" s="7" t="inlineStr">
        <is>
          <t>Sinkhorn col norm</t>
        </is>
      </c>
      <c r="B54" s="7" t="inlineStr">
        <is>
          <t>exp2</t>
        </is>
      </c>
      <c r="C54" s="11" t="n">
        <v>513</v>
      </c>
      <c r="D54" s="11" t="n">
        <v>513</v>
      </c>
      <c r="E54" s="11" t="n">
        <v>0</v>
      </c>
      <c r="F54" s="2" t="n">
        <v>0</v>
      </c>
      <c r="G54" s="2" t="n">
        <v>0</v>
      </c>
      <c r="H54" s="2" t="n">
        <v>0</v>
      </c>
      <c r="I54" s="3" t="n">
        <v>0</v>
      </c>
      <c r="J54" s="3" t="n">
        <v>0</v>
      </c>
      <c r="K54" s="3" t="n">
        <v>0</v>
      </c>
      <c r="L54" s="13" t="n">
        <v>513</v>
      </c>
      <c r="M54" s="13" t="n">
        <v>513</v>
      </c>
      <c r="N54" s="13" t="n">
        <v>0</v>
      </c>
      <c r="O54" s="3">
        <f>C54*D54/1024</f>
        <v/>
      </c>
      <c r="P54" s="3" t="n">
        <v>0</v>
      </c>
      <c r="Q54" s="3" t="n">
        <v>0</v>
      </c>
      <c r="R54" s="3">
        <f>L54*M54/1024</f>
        <v/>
      </c>
      <c r="S54" s="3">
        <f>C54*D54/128</f>
        <v/>
      </c>
      <c r="T54" s="3">
        <f>(S54/$Y$2)/1000</f>
        <v/>
      </c>
      <c r="U54" s="26">
        <f>((O54*8*1024)/$T54)/1000</f>
        <v/>
      </c>
      <c r="V54" s="26">
        <f>((P54*8*1024)/$T54)/1000</f>
        <v/>
      </c>
      <c r="W54" s="26">
        <f>((Q54*8*1024)/$T54)/1000</f>
        <v/>
      </c>
      <c r="X54" s="26">
        <f>((R54*8*1024)/$T54)/1000</f>
        <v/>
      </c>
    </row>
    <row r="55">
      <c r="A55" s="7" t="inlineStr">
        <is>
          <t>Sinkhorn col norm</t>
        </is>
      </c>
      <c r="B55" s="7" t="inlineStr">
        <is>
          <t>sum</t>
        </is>
      </c>
      <c r="C55" s="11" t="n">
        <v>513</v>
      </c>
      <c r="D55" s="11" t="n">
        <v>513</v>
      </c>
      <c r="E55" s="11" t="n">
        <v>0</v>
      </c>
      <c r="F55" s="2" t="n">
        <v>0</v>
      </c>
      <c r="G55" s="2" t="n">
        <v>0</v>
      </c>
      <c r="H55" s="2" t="n">
        <v>0</v>
      </c>
      <c r="I55" s="3" t="n">
        <v>0</v>
      </c>
      <c r="J55" s="3" t="n">
        <v>0</v>
      </c>
      <c r="K55" s="3" t="n">
        <v>0</v>
      </c>
      <c r="L55" s="13" t="n">
        <v>513</v>
      </c>
      <c r="M55" s="13" t="n">
        <v>513</v>
      </c>
      <c r="N55" s="13" t="n">
        <v>0</v>
      </c>
      <c r="O55" s="3">
        <f>C55*D55/1024</f>
        <v/>
      </c>
      <c r="P55" s="3" t="n">
        <v>0</v>
      </c>
      <c r="Q55" s="3" t="n">
        <v>0</v>
      </c>
      <c r="R55" s="3">
        <f>L55*M55/1024</f>
        <v/>
      </c>
      <c r="S55" s="3">
        <f>C55*D55/128</f>
        <v/>
      </c>
      <c r="T55" s="3">
        <f>(S55/$Y$2)/1000</f>
        <v/>
      </c>
      <c r="U55" s="26">
        <f>((O55*8*1024)/$T55)/1000</f>
        <v/>
      </c>
      <c r="V55" s="26">
        <f>((P55*8*1024)/$T55)/1000</f>
        <v/>
      </c>
      <c r="W55" s="26">
        <f>((Q55*8*1024)/$T55)/1000</f>
        <v/>
      </c>
      <c r="X55" s="26">
        <f>((R55*8*1024)/$T55)/1000</f>
        <v/>
      </c>
    </row>
    <row r="56">
      <c r="A56" s="7" t="inlineStr">
        <is>
          <t>Sinkhorn col norm</t>
        </is>
      </c>
      <c r="B56" s="7" t="inlineStr">
        <is>
          <t>log</t>
        </is>
      </c>
      <c r="C56" s="11" t="n">
        <v>513</v>
      </c>
      <c r="D56" s="11" t="n">
        <v>513</v>
      </c>
      <c r="E56" s="11" t="n">
        <v>0</v>
      </c>
      <c r="F56" s="2" t="n">
        <v>0</v>
      </c>
      <c r="G56" s="2" t="n">
        <v>0</v>
      </c>
      <c r="H56" s="2" t="n">
        <v>0</v>
      </c>
      <c r="I56" s="3" t="n">
        <v>0</v>
      </c>
      <c r="J56" s="3" t="n">
        <v>0</v>
      </c>
      <c r="K56" s="3" t="n">
        <v>0</v>
      </c>
      <c r="L56" s="13" t="n">
        <v>513</v>
      </c>
      <c r="M56" s="13" t="n">
        <v>513</v>
      </c>
      <c r="N56" s="13" t="n">
        <v>0</v>
      </c>
      <c r="O56" s="3">
        <f>C56*D56/1024</f>
        <v/>
      </c>
      <c r="P56" s="3" t="n">
        <v>0</v>
      </c>
      <c r="Q56" s="3" t="n">
        <v>0</v>
      </c>
      <c r="R56" s="3">
        <f>L56*M56/1024</f>
        <v/>
      </c>
      <c r="S56" s="3">
        <f>C56*D56/128</f>
        <v/>
      </c>
      <c r="T56" s="3">
        <f>(S56/$Y$2)/1000</f>
        <v/>
      </c>
      <c r="U56" s="26">
        <f>((O56*8*1024)/$T56)/1000</f>
        <v/>
      </c>
      <c r="V56" s="26">
        <f>((P56*8*1024)/$T56)/1000</f>
        <v/>
      </c>
      <c r="W56" s="26">
        <f>((Q56*8*1024)/$T56)/1000</f>
        <v/>
      </c>
      <c r="X56" s="26">
        <f>((R56*8*1024)/$T56)/1000</f>
        <v/>
      </c>
    </row>
    <row r="57">
      <c r="A57" s="7" t="inlineStr">
        <is>
          <t>Sinkhorn col norm</t>
        </is>
      </c>
      <c r="B57" s="7" t="inlineStr">
        <is>
          <t>subtract</t>
        </is>
      </c>
      <c r="C57" s="11" t="n">
        <v>513</v>
      </c>
      <c r="D57" s="11" t="n">
        <v>513</v>
      </c>
      <c r="E57" s="11" t="n">
        <v>0</v>
      </c>
      <c r="F57" s="2" t="n">
        <v>0</v>
      </c>
      <c r="G57" s="2" t="n">
        <v>0</v>
      </c>
      <c r="H57" s="2" t="n">
        <v>0</v>
      </c>
      <c r="I57" s="3" t="n">
        <v>0</v>
      </c>
      <c r="J57" s="3" t="n">
        <v>0</v>
      </c>
      <c r="K57" s="3" t="n">
        <v>0</v>
      </c>
      <c r="L57" s="13" t="n">
        <v>513</v>
      </c>
      <c r="M57" s="13" t="n">
        <v>513</v>
      </c>
      <c r="N57" s="13" t="n">
        <v>0</v>
      </c>
      <c r="O57" s="3">
        <f>C57*D57/1024</f>
        <v/>
      </c>
      <c r="P57" s="3" t="n">
        <v>0</v>
      </c>
      <c r="Q57" s="3" t="n">
        <v>0</v>
      </c>
      <c r="R57" s="3">
        <f>L57*M57/1024</f>
        <v/>
      </c>
      <c r="S57" s="3">
        <f>C57*D57/128</f>
        <v/>
      </c>
      <c r="T57" s="3">
        <f>(S57/$Y$2)/1000</f>
        <v/>
      </c>
      <c r="U57" s="26">
        <f>((O57*8*1024)/$T57)/1000</f>
        <v/>
      </c>
      <c r="V57" s="26">
        <f>((P57*8*1024)/$T57)/1000</f>
        <v/>
      </c>
      <c r="W57" s="26">
        <f>((Q57*8*1024)/$T57)/1000</f>
        <v/>
      </c>
      <c r="X57" s="26">
        <f>((R57*8*1024)/$T57)/1000</f>
        <v/>
      </c>
      <c r="Y57" s="17" t="inlineStr">
        <is>
          <t>Sinkhorn total (x100) [us] -&gt;</t>
        </is>
      </c>
      <c r="Z57" s="17">
        <f>100*(SUM(T47:T57))</f>
        <v/>
      </c>
    </row>
    <row r="58">
      <c r="A58" s="7" t="inlineStr">
        <is>
          <t>match readout (dual-softmax)</t>
        </is>
      </c>
      <c r="B58" s="7" t="inlineStr">
        <is>
          <t>max</t>
        </is>
      </c>
      <c r="C58" s="11" t="n">
        <v>513</v>
      </c>
      <c r="D58" s="11" t="n">
        <v>513</v>
      </c>
      <c r="E58" s="11" t="n">
        <v>0</v>
      </c>
      <c r="F58" s="2" t="n">
        <v>0</v>
      </c>
      <c r="G58" s="2" t="n">
        <v>0</v>
      </c>
      <c r="H58" s="2" t="n">
        <v>0</v>
      </c>
      <c r="I58" s="3" t="n">
        <v>0</v>
      </c>
      <c r="J58" s="3" t="n">
        <v>0</v>
      </c>
      <c r="K58" s="3" t="n">
        <v>0</v>
      </c>
      <c r="L58" s="13" t="n">
        <v>513</v>
      </c>
      <c r="M58" s="13" t="n">
        <v>513</v>
      </c>
      <c r="N58" s="13" t="n">
        <v>0</v>
      </c>
      <c r="O58" s="3">
        <f>C58*D58/1024</f>
        <v/>
      </c>
      <c r="P58" s="3" t="n">
        <v>0</v>
      </c>
      <c r="Q58" s="3" t="n">
        <v>0</v>
      </c>
      <c r="R58" s="3">
        <f>L58*M58/1024</f>
        <v/>
      </c>
      <c r="S58" s="3">
        <f>C58*D58/128</f>
        <v/>
      </c>
      <c r="T58" s="3">
        <f>(S58/$Y$2)/1000</f>
        <v/>
      </c>
      <c r="U58" s="26">
        <f>((O58*8*1024)/$T58)/1000</f>
        <v/>
      </c>
      <c r="V58" s="26">
        <f>((P58*8*1024)/$T58)/1000</f>
        <v/>
      </c>
      <c r="W58" s="26">
        <f>((Q58*8*1024)/$T58)/1000</f>
        <v/>
      </c>
      <c r="X58" s="26">
        <f>((R58*8*1024)/$T58)/1000</f>
        <v/>
      </c>
    </row>
    <row r="59">
      <c r="A59" s="7" t="inlineStr">
        <is>
          <t>match readout (dual-softmax)</t>
        </is>
      </c>
      <c r="B59" s="7" t="inlineStr">
        <is>
          <t>exp2</t>
        </is>
      </c>
      <c r="C59" s="11" t="n">
        <v>513</v>
      </c>
      <c r="D59" s="11" t="n">
        <v>513</v>
      </c>
      <c r="E59" s="11" t="n">
        <v>0</v>
      </c>
      <c r="F59" s="2" t="n">
        <v>0</v>
      </c>
      <c r="G59" s="2" t="n">
        <v>0</v>
      </c>
      <c r="H59" s="2" t="n">
        <v>0</v>
      </c>
      <c r="I59" s="3" t="n">
        <v>0</v>
      </c>
      <c r="J59" s="3" t="n">
        <v>0</v>
      </c>
      <c r="K59" s="3" t="n">
        <v>0</v>
      </c>
      <c r="L59" s="13" t="n">
        <v>513</v>
      </c>
      <c r="M59" s="13" t="n">
        <v>513</v>
      </c>
      <c r="N59" s="13" t="n">
        <v>0</v>
      </c>
      <c r="O59" s="3">
        <f>C59*D59/1024</f>
        <v/>
      </c>
      <c r="P59" s="3" t="n">
        <v>0</v>
      </c>
      <c r="Q59" s="3" t="n">
        <v>0</v>
      </c>
      <c r="R59" s="3">
        <f>L59*M59/1024</f>
        <v/>
      </c>
      <c r="S59" s="3">
        <f>C59*D59/128</f>
        <v/>
      </c>
      <c r="T59" s="3">
        <f>(S59/$Y$2)/1000</f>
        <v/>
      </c>
      <c r="U59" s="26">
        <f>((O59*8*1024)/$T59)/1000</f>
        <v/>
      </c>
      <c r="V59" s="26">
        <f>((P59*8*1024)/$T59)/1000</f>
        <v/>
      </c>
      <c r="W59" s="26">
        <f>((Q59*8*1024)/$T59)/1000</f>
        <v/>
      </c>
      <c r="X59" s="26">
        <f>((R59*8*1024)/$T59)/1000</f>
        <v/>
      </c>
    </row>
    <row r="60">
      <c r="A60" s="7" t="inlineStr">
        <is>
          <t>match readout (dual-softmax)</t>
        </is>
      </c>
      <c r="B60" s="7" t="inlineStr">
        <is>
          <t>sum</t>
        </is>
      </c>
      <c r="C60" s="11" t="n">
        <v>513</v>
      </c>
      <c r="D60" s="11" t="n">
        <v>513</v>
      </c>
      <c r="E60" s="11" t="n">
        <v>0</v>
      </c>
      <c r="F60" s="2" t="n">
        <v>0</v>
      </c>
      <c r="G60" s="2" t="n">
        <v>0</v>
      </c>
      <c r="H60" s="2" t="n">
        <v>0</v>
      </c>
      <c r="I60" s="3" t="n">
        <v>0</v>
      </c>
      <c r="J60" s="3" t="n">
        <v>0</v>
      </c>
      <c r="K60" s="3" t="n">
        <v>0</v>
      </c>
      <c r="L60" s="13" t="n">
        <v>513</v>
      </c>
      <c r="M60" s="13" t="n">
        <v>513</v>
      </c>
      <c r="N60" s="13" t="n">
        <v>0</v>
      </c>
      <c r="O60" s="3">
        <f>C60*D60/1024</f>
        <v/>
      </c>
      <c r="P60" s="3" t="n">
        <v>0</v>
      </c>
      <c r="Q60" s="3" t="n">
        <v>0</v>
      </c>
      <c r="R60" s="3">
        <f>L60*M60/1024</f>
        <v/>
      </c>
      <c r="S60" s="3">
        <f>C60*D60/128</f>
        <v/>
      </c>
      <c r="T60" s="3">
        <f>(S60/$Y$2)/1000</f>
        <v/>
      </c>
      <c r="U60" s="26">
        <f>((O60*8*1024)/$T60)/1000</f>
        <v/>
      </c>
      <c r="V60" s="26">
        <f>((P60*8*1024)/$T60)/1000</f>
        <v/>
      </c>
      <c r="W60" s="26">
        <f>((Q60*8*1024)/$T60)/1000</f>
        <v/>
      </c>
      <c r="X60" s="26">
        <f>((R60*8*1024)/$T60)/1000</f>
        <v/>
      </c>
    </row>
    <row r="61">
      <c r="A61" s="7" t="inlineStr">
        <is>
          <t>match readout (dual-softmax)</t>
        </is>
      </c>
      <c r="B61" s="7" t="inlineStr">
        <is>
          <t>subtract</t>
        </is>
      </c>
      <c r="C61" s="11" t="n">
        <v>513</v>
      </c>
      <c r="D61" s="11" t="n">
        <v>513</v>
      </c>
      <c r="E61" s="11" t="n">
        <v>0</v>
      </c>
      <c r="F61" s="2" t="n">
        <v>0</v>
      </c>
      <c r="G61" s="2" t="n">
        <v>0</v>
      </c>
      <c r="H61" s="2" t="n">
        <v>0</v>
      </c>
      <c r="I61" s="3" t="n">
        <v>0</v>
      </c>
      <c r="J61" s="3" t="n">
        <v>0</v>
      </c>
      <c r="K61" s="3" t="n">
        <v>0</v>
      </c>
      <c r="L61" s="13" t="n">
        <v>513</v>
      </c>
      <c r="M61" s="13" t="n">
        <v>513</v>
      </c>
      <c r="N61" s="13" t="n">
        <v>0</v>
      </c>
      <c r="O61" s="3">
        <f>C61*D61/1024</f>
        <v/>
      </c>
      <c r="P61" s="3" t="n">
        <v>0</v>
      </c>
      <c r="Q61" s="3" t="n">
        <v>0</v>
      </c>
      <c r="R61" s="3">
        <f>L61*M61/1024</f>
        <v/>
      </c>
      <c r="S61" s="3">
        <f>C61*D61/128</f>
        <v/>
      </c>
      <c r="T61" s="3">
        <f>(S61/$Y$2)/1000</f>
        <v/>
      </c>
      <c r="U61" s="26">
        <f>((O61*8*1024)/$T61)/1000</f>
        <v/>
      </c>
      <c r="V61" s="26">
        <f>((P61*8*1024)/$T61)/1000</f>
        <v/>
      </c>
      <c r="W61" s="26">
        <f>((Q61*8*1024)/$T61)/1000</f>
        <v/>
      </c>
      <c r="X61" s="26">
        <f>((R61*8*1024)/$T61)/1000</f>
        <v/>
      </c>
    </row>
    <row r="62">
      <c r="A62" s="7" t="inlineStr">
        <is>
          <t>match readout (dual-softmax)</t>
        </is>
      </c>
      <c r="B62" s="7" t="inlineStr">
        <is>
          <t>multiply</t>
        </is>
      </c>
      <c r="C62" s="11" t="n">
        <v>513</v>
      </c>
      <c r="D62" s="11" t="n">
        <v>513</v>
      </c>
      <c r="E62" s="11" t="n">
        <v>0</v>
      </c>
      <c r="F62" s="2" t="n">
        <v>0</v>
      </c>
      <c r="G62" s="2" t="n">
        <v>0</v>
      </c>
      <c r="H62" s="2" t="n">
        <v>0</v>
      </c>
      <c r="I62" s="3" t="n">
        <v>0</v>
      </c>
      <c r="J62" s="3" t="n">
        <v>0</v>
      </c>
      <c r="K62" s="3" t="n">
        <v>0</v>
      </c>
      <c r="L62" s="13" t="n">
        <v>513</v>
      </c>
      <c r="M62" s="13" t="n">
        <v>513</v>
      </c>
      <c r="N62" s="13" t="n">
        <v>0</v>
      </c>
      <c r="O62" s="3">
        <f>C62*D62/1024</f>
        <v/>
      </c>
      <c r="P62" s="3" t="n">
        <v>0</v>
      </c>
      <c r="Q62" s="3" t="n">
        <v>0</v>
      </c>
      <c r="R62" s="3">
        <f>L62*M62/1024</f>
        <v/>
      </c>
      <c r="S62" s="3">
        <f>C62*D62/128</f>
        <v/>
      </c>
      <c r="T62" s="3">
        <f>(S62/$Y$2)/1000</f>
        <v/>
      </c>
      <c r="U62" s="26">
        <f>((O62*8*1024)/$T62)/1000</f>
        <v/>
      </c>
      <c r="V62" s="26">
        <f>((P62*8*1024)/$T62)/1000</f>
        <v/>
      </c>
      <c r="W62" s="26">
        <f>((Q62*8*1024)/$T62)/1000</f>
        <v/>
      </c>
      <c r="X62" s="26">
        <f>((R62*8*1024)/$T62)/1000</f>
        <v/>
      </c>
    </row>
    <row r="64">
      <c r="A64" s="7" t="inlineStr">
        <is>
          <t>GRAND TOTAL [us]</t>
        </is>
      </c>
      <c r="Y64" s="17" t="inlineStr">
        <is>
          <t>variant: transpose_free</t>
        </is>
      </c>
      <c r="Z64" s="17">
        <f>Z11+Z40+2*(SUM(T41:T42))+SUM(T43:T44)+T45+Z57+SUM(T58:T62)</f>
        <v/>
      </c>
    </row>
    <row r="65">
      <c r="A65" s="7" t="inlineStr">
        <is>
          <t>FPS (image pair)</t>
        </is>
      </c>
      <c r="Y65" s="17" t="inlineStr">
        <is>
          <t>frames / sec -&gt;</t>
        </is>
      </c>
      <c r="Z65" s="17">
        <f>1000000/Z64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.109375" customWidth="1" min="1" max="1"/>
    <col width="20.44140625" customWidth="1" min="2" max="2"/>
    <col width="4.109375" customWidth="1" min="3" max="3"/>
    <col width="13" customWidth="1" min="4" max="4"/>
    <col width="6.109375" customWidth="1" min="5" max="5"/>
    <col width="11.6640625" customWidth="1" min="6" max="6"/>
    <col width="5.44140625" customWidth="1" min="7" max="7"/>
    <col width="6.109375" customWidth="1" min="8" max="8"/>
    <col width="9.109375" customWidth="1" min="9" max="9"/>
    <col width="13" customWidth="1" min="10" max="10"/>
    <col width="13" customWidth="1" min="11" max="11"/>
    <col width="5.44140625" customWidth="1" min="12" max="12"/>
    <col width="13" customWidth="1" min="13" max="13"/>
    <col width="6.109375" customWidth="1" min="14" max="14"/>
    <col width="17.5546875" customWidth="1" min="15" max="15"/>
    <col width="13" customWidth="1" min="16" max="16"/>
    <col width="17.5546875" customWidth="1" min="17" max="17"/>
    <col width="17.77734375" customWidth="1" min="18" max="18"/>
    <col width="9.77734375" customWidth="1" min="19" max="19"/>
    <col width="11.21875" customWidth="1" min="20" max="20"/>
    <col width="10.88671875" customWidth="1" min="21" max="21"/>
    <col width="13" customWidth="1" min="22" max="22"/>
    <col width="10.5546875" customWidth="1" min="23" max="23"/>
    <col width="12.77734375" customWidth="1" min="24" max="24"/>
    <col width="30.33203125" customWidth="1" min="25" max="25"/>
    <col width="12.77734375" customWidth="1" min="26" max="26"/>
  </cols>
  <sheetData>
    <row r="1">
      <c r="A1" s="7" t="inlineStr">
        <is>
          <t>Layer</t>
        </is>
      </c>
      <c r="B1" s="7" t="inlineStr">
        <is>
          <t>Type</t>
        </is>
      </c>
      <c r="C1" s="10" t="inlineStr">
        <is>
          <t>H</t>
        </is>
      </c>
      <c r="D1" s="10" t="inlineStr">
        <is>
          <t>W</t>
        </is>
      </c>
      <c r="E1" s="10" t="inlineStr">
        <is>
          <t>Cin</t>
        </is>
      </c>
      <c r="F1" s="1" t="inlineStr">
        <is>
          <t>Filter/Weight</t>
        </is>
      </c>
      <c r="G1" s="1" t="inlineStr">
        <is>
          <t>Cin</t>
        </is>
      </c>
      <c r="H1" s="1" t="inlineStr">
        <is>
          <t>Cout</t>
        </is>
      </c>
      <c r="I1" s="4" t="inlineStr">
        <is>
          <t>BN</t>
        </is>
      </c>
      <c r="J1" s="4" t="inlineStr">
        <is>
          <t>D</t>
        </is>
      </c>
      <c r="K1" s="4" t="inlineStr">
        <is>
          <t>None</t>
        </is>
      </c>
      <c r="L1" s="14" t="inlineStr">
        <is>
          <t>H</t>
        </is>
      </c>
      <c r="M1" s="14" t="inlineStr">
        <is>
          <t>W</t>
        </is>
      </c>
      <c r="N1" s="14" t="inlineStr">
        <is>
          <t>Cin</t>
        </is>
      </c>
      <c r="O1" s="4" t="inlineStr">
        <is>
          <t>Input 1 Memory(kB)</t>
        </is>
      </c>
      <c r="P1" s="4" t="inlineStr">
        <is>
          <t>Input 2 Memory(kB)</t>
        </is>
      </c>
      <c r="Q1" s="4" t="inlineStr">
        <is>
          <t>Input 3 Memory(kB)</t>
        </is>
      </c>
      <c r="R1" s="4" t="inlineStr">
        <is>
          <t>Output Memory(kB)</t>
        </is>
      </c>
      <c r="S1" s="4" t="inlineStr">
        <is>
          <t xml:space="preserve">Cycles </t>
        </is>
      </c>
      <c r="T1" s="4" t="inlineStr">
        <is>
          <t>Time[us]</t>
        </is>
      </c>
      <c r="U1" s="4" t="inlineStr">
        <is>
          <t>BW 1(Gbps)</t>
        </is>
      </c>
      <c r="V1" s="4" t="inlineStr">
        <is>
          <t>BW 2(Gbps)</t>
        </is>
      </c>
      <c r="W1" s="4" t="inlineStr">
        <is>
          <t>BW 3(Gbps)</t>
        </is>
      </c>
      <c r="X1" s="4" t="inlineStr">
        <is>
          <t>BW Out(Gbps)</t>
        </is>
      </c>
      <c r="Y1" s="19" t="inlineStr">
        <is>
          <t>freq Ghz</t>
        </is>
      </c>
      <c r="Z1" s="16" t="inlineStr">
        <is>
          <t>Mem BW Gbps</t>
        </is>
      </c>
    </row>
    <row r="2">
      <c r="A2" s="7" t="inlineStr">
        <is>
          <t>Input</t>
        </is>
      </c>
      <c r="B2" s="7" t="inlineStr">
        <is>
          <t>kpt+desc load</t>
        </is>
      </c>
      <c r="C2" s="11" t="n">
        <v>256</v>
      </c>
      <c r="D2" s="11" t="n">
        <v>512</v>
      </c>
      <c r="E2" s="11" t="n">
        <v>0</v>
      </c>
      <c r="F2" s="2" t="n">
        <v>0</v>
      </c>
      <c r="G2" s="2" t="n">
        <v>0</v>
      </c>
      <c r="H2" s="2" t="n">
        <v>0</v>
      </c>
      <c r="I2" s="3" t="n">
        <v>0</v>
      </c>
      <c r="J2" s="3" t="n">
        <v>0</v>
      </c>
      <c r="K2" s="3" t="n">
        <v>0</v>
      </c>
      <c r="L2" s="13" t="n">
        <v>256</v>
      </c>
      <c r="M2" s="13" t="n">
        <v>512</v>
      </c>
      <c r="N2" s="13" t="n">
        <v>0</v>
      </c>
      <c r="O2" s="3">
        <f>C2*D2/1024</f>
        <v/>
      </c>
      <c r="P2" s="3" t="n">
        <v>0</v>
      </c>
      <c r="Q2" s="3" t="n">
        <v>0</v>
      </c>
      <c r="R2" s="3">
        <f>L2*M2/1024</f>
        <v/>
      </c>
      <c r="S2" s="3" t="inlineStr">
        <is>
          <t>0</t>
        </is>
      </c>
      <c r="T2" s="3" t="n">
        <v>0</v>
      </c>
      <c r="U2" s="26" t="n">
        <v>0</v>
      </c>
      <c r="V2" s="26" t="n">
        <v>0</v>
      </c>
      <c r="W2" s="26" t="n">
        <v>0</v>
      </c>
      <c r="X2" s="26" t="n">
        <v>0</v>
      </c>
      <c r="Y2" t="n">
        <v>1</v>
      </c>
      <c r="Z2" t="n">
        <v>8</v>
      </c>
    </row>
    <row r="3">
      <c r="A3" s="7" t="inlineStr">
        <is>
          <t>KptEnc 3-&gt;32</t>
        </is>
      </c>
      <c r="B3" s="7" t="inlineStr">
        <is>
          <t>multiply</t>
        </is>
      </c>
      <c r="C3" s="11" t="n">
        <v>32</v>
      </c>
      <c r="D3" s="11" t="n">
        <v>512</v>
      </c>
      <c r="E3" s="11" t="n">
        <v>0</v>
      </c>
      <c r="F3" s="2" t="n">
        <v>0</v>
      </c>
      <c r="G3" s="2" t="n">
        <v>3</v>
      </c>
      <c r="H3" s="2" t="n">
        <v>0</v>
      </c>
      <c r="I3" s="3" t="n">
        <v>0</v>
      </c>
      <c r="J3" s="3" t="n">
        <v>0</v>
      </c>
      <c r="K3" s="3" t="n">
        <v>0</v>
      </c>
      <c r="L3" s="13" t="n">
        <v>32</v>
      </c>
      <c r="M3" s="13" t="n">
        <v>512</v>
      </c>
      <c r="N3" s="13" t="n">
        <v>0</v>
      </c>
      <c r="O3" s="3">
        <f>C3*D3/1024</f>
        <v/>
      </c>
      <c r="P3" s="3" t="n">
        <v>0</v>
      </c>
      <c r="Q3" s="3" t="n">
        <v>0</v>
      </c>
      <c r="R3" s="3">
        <f>L3*M3/1024</f>
        <v/>
      </c>
      <c r="S3" s="3">
        <f>C3*D3*G3/128</f>
        <v/>
      </c>
      <c r="T3" s="3">
        <f>(S3/$Y$2)/1000</f>
        <v/>
      </c>
      <c r="U3" s="26">
        <f>((O3*8*1024)/$T3)/1000</f>
        <v/>
      </c>
      <c r="V3" s="26">
        <f>((P3*8*1024)/$T3)/1000</f>
        <v/>
      </c>
      <c r="W3" s="26">
        <f>((Q3*8*1024)/$T3)/1000</f>
        <v/>
      </c>
      <c r="X3" s="26">
        <f>((R3*8*1024)/$T3)/1000</f>
        <v/>
      </c>
    </row>
    <row r="4">
      <c r="A4" s="7" t="inlineStr">
        <is>
          <t>KptEnc 3-&gt;32</t>
        </is>
      </c>
      <c r="B4" s="7" t="inlineStr">
        <is>
          <t>accumulate</t>
        </is>
      </c>
      <c r="C4" s="11" t="n">
        <v>32</v>
      </c>
      <c r="D4" s="11" t="n">
        <v>512</v>
      </c>
      <c r="E4" s="11" t="n">
        <v>0</v>
      </c>
      <c r="F4" s="2" t="n">
        <v>0</v>
      </c>
      <c r="G4" s="2" t="n">
        <v>3</v>
      </c>
      <c r="H4" s="2" t="n">
        <v>0</v>
      </c>
      <c r="I4" s="3" t="n">
        <v>0</v>
      </c>
      <c r="J4" s="3" t="n">
        <v>0</v>
      </c>
      <c r="K4" s="3" t="n">
        <v>0</v>
      </c>
      <c r="L4" s="13" t="n">
        <v>32</v>
      </c>
      <c r="M4" s="13" t="n">
        <v>512</v>
      </c>
      <c r="N4" s="13" t="n">
        <v>0</v>
      </c>
      <c r="O4" s="3">
        <f>C4*D4/1024</f>
        <v/>
      </c>
      <c r="P4" s="3" t="n">
        <v>0</v>
      </c>
      <c r="Q4" s="3" t="n">
        <v>0</v>
      </c>
      <c r="R4" s="3">
        <f>L4*M4/1024</f>
        <v/>
      </c>
      <c r="S4" s="3">
        <f>C4*D4*G4/128</f>
        <v/>
      </c>
      <c r="T4" s="3">
        <f>(S4/$Y$2)/1000</f>
        <v/>
      </c>
      <c r="U4" s="26">
        <f>((O4*8*1024)/$T4)/1000</f>
        <v/>
      </c>
      <c r="V4" s="26">
        <f>((P4*8*1024)/$T4)/1000</f>
        <v/>
      </c>
      <c r="W4" s="26">
        <f>((Q4*8*1024)/$T4)/1000</f>
        <v/>
      </c>
      <c r="X4" s="26">
        <f>((R4*8*1024)/$T4)/1000</f>
        <v/>
      </c>
    </row>
    <row r="5">
      <c r="A5" s="7" t="inlineStr">
        <is>
          <t>KptEnc 32-&gt;64</t>
        </is>
      </c>
      <c r="B5" s="7" t="inlineStr">
        <is>
          <t>multiply</t>
        </is>
      </c>
      <c r="C5" s="11" t="n">
        <v>64</v>
      </c>
      <c r="D5" s="11" t="n">
        <v>512</v>
      </c>
      <c r="E5" s="11" t="n">
        <v>0</v>
      </c>
      <c r="F5" s="2" t="n">
        <v>0</v>
      </c>
      <c r="G5" s="2" t="n">
        <v>32</v>
      </c>
      <c r="H5" s="2" t="n">
        <v>0</v>
      </c>
      <c r="I5" s="3" t="n">
        <v>0</v>
      </c>
      <c r="J5" s="3" t="n">
        <v>0</v>
      </c>
      <c r="K5" s="3" t="n">
        <v>0</v>
      </c>
      <c r="L5" s="13" t="n">
        <v>64</v>
      </c>
      <c r="M5" s="13" t="n">
        <v>512</v>
      </c>
      <c r="N5" s="13" t="n">
        <v>0</v>
      </c>
      <c r="O5" s="3">
        <f>C5*D5/1024</f>
        <v/>
      </c>
      <c r="P5" s="3" t="n">
        <v>0</v>
      </c>
      <c r="Q5" s="3" t="n">
        <v>0</v>
      </c>
      <c r="R5" s="3">
        <f>L5*M5/1024</f>
        <v/>
      </c>
      <c r="S5" s="3">
        <f>C5*D5*G5/128</f>
        <v/>
      </c>
      <c r="T5" s="3">
        <f>(S5/$Y$2)/1000</f>
        <v/>
      </c>
      <c r="U5" s="26">
        <f>((O5*8*1024)/$T5)/1000</f>
        <v/>
      </c>
      <c r="V5" s="26">
        <f>((P5*8*1024)/$T5)/1000</f>
        <v/>
      </c>
      <c r="W5" s="26">
        <f>((Q5*8*1024)/$T5)/1000</f>
        <v/>
      </c>
      <c r="X5" s="26">
        <f>((R5*8*1024)/$T5)/1000</f>
        <v/>
      </c>
    </row>
    <row r="6">
      <c r="A6" s="7" t="inlineStr">
        <is>
          <t>KptEnc 32-&gt;64</t>
        </is>
      </c>
      <c r="B6" s="7" t="inlineStr">
        <is>
          <t>accumulate</t>
        </is>
      </c>
      <c r="C6" s="11" t="n">
        <v>64</v>
      </c>
      <c r="D6" s="11" t="n">
        <v>512</v>
      </c>
      <c r="E6" s="11" t="n">
        <v>0</v>
      </c>
      <c r="F6" s="2" t="n">
        <v>0</v>
      </c>
      <c r="G6" s="2" t="n">
        <v>32</v>
      </c>
      <c r="H6" s="2" t="n">
        <v>0</v>
      </c>
      <c r="I6" s="3" t="n">
        <v>0</v>
      </c>
      <c r="J6" s="3" t="n">
        <v>0</v>
      </c>
      <c r="K6" s="3" t="n">
        <v>0</v>
      </c>
      <c r="L6" s="13" t="n">
        <v>64</v>
      </c>
      <c r="M6" s="13" t="n">
        <v>512</v>
      </c>
      <c r="N6" s="13" t="n">
        <v>0</v>
      </c>
      <c r="O6" s="3">
        <f>C6*D6/1024</f>
        <v/>
      </c>
      <c r="P6" s="3" t="n">
        <v>0</v>
      </c>
      <c r="Q6" s="3" t="n">
        <v>0</v>
      </c>
      <c r="R6" s="3">
        <f>L6*M6/1024</f>
        <v/>
      </c>
      <c r="S6" s="3">
        <f>C6*D6*G6/128</f>
        <v/>
      </c>
      <c r="T6" s="3">
        <f>(S6/$Y$2)/1000</f>
        <v/>
      </c>
      <c r="U6" s="26">
        <f>((O6*8*1024)/$T6)/1000</f>
        <v/>
      </c>
      <c r="V6" s="26">
        <f>((P6*8*1024)/$T6)/1000</f>
        <v/>
      </c>
      <c r="W6" s="26">
        <f>((Q6*8*1024)/$T6)/1000</f>
        <v/>
      </c>
      <c r="X6" s="26">
        <f>((R6*8*1024)/$T6)/1000</f>
        <v/>
      </c>
    </row>
    <row r="7">
      <c r="A7" s="7" t="inlineStr">
        <is>
          <t>KptEnc 64-&gt;128</t>
        </is>
      </c>
      <c r="B7" s="7" t="inlineStr">
        <is>
          <t>multiply</t>
        </is>
      </c>
      <c r="C7" s="11" t="n">
        <v>128</v>
      </c>
      <c r="D7" s="11" t="n">
        <v>512</v>
      </c>
      <c r="E7" s="11" t="n">
        <v>0</v>
      </c>
      <c r="F7" s="2" t="n">
        <v>0</v>
      </c>
      <c r="G7" s="2" t="n">
        <v>64</v>
      </c>
      <c r="H7" s="2" t="n">
        <v>0</v>
      </c>
      <c r="I7" s="3" t="n">
        <v>0</v>
      </c>
      <c r="J7" s="3" t="n">
        <v>0</v>
      </c>
      <c r="K7" s="3" t="n">
        <v>0</v>
      </c>
      <c r="L7" s="13" t="n">
        <v>128</v>
      </c>
      <c r="M7" s="13" t="n">
        <v>512</v>
      </c>
      <c r="N7" s="13" t="n">
        <v>0</v>
      </c>
      <c r="O7" s="3">
        <f>C7*D7/1024</f>
        <v/>
      </c>
      <c r="P7" s="3" t="n">
        <v>0</v>
      </c>
      <c r="Q7" s="3" t="n">
        <v>0</v>
      </c>
      <c r="R7" s="3">
        <f>L7*M7/1024</f>
        <v/>
      </c>
      <c r="S7" s="3">
        <f>C7*D7*G7/128</f>
        <v/>
      </c>
      <c r="T7" s="3">
        <f>(S7/$Y$2)/1000</f>
        <v/>
      </c>
      <c r="U7" s="26">
        <f>((O7*8*1024)/$T7)/1000</f>
        <v/>
      </c>
      <c r="V7" s="26">
        <f>((P7*8*1024)/$T7)/1000</f>
        <v/>
      </c>
      <c r="W7" s="26">
        <f>((Q7*8*1024)/$T7)/1000</f>
        <v/>
      </c>
      <c r="X7" s="26">
        <f>((R7*8*1024)/$T7)/1000</f>
        <v/>
      </c>
    </row>
    <row r="8">
      <c r="A8" s="7" t="inlineStr">
        <is>
          <t>KptEnc 64-&gt;128</t>
        </is>
      </c>
      <c r="B8" s="7" t="inlineStr">
        <is>
          <t>accumulate</t>
        </is>
      </c>
      <c r="C8" s="11" t="n">
        <v>128</v>
      </c>
      <c r="D8" s="11" t="n">
        <v>512</v>
      </c>
      <c r="E8" s="11" t="n">
        <v>0</v>
      </c>
      <c r="F8" s="2" t="n">
        <v>0</v>
      </c>
      <c r="G8" s="2" t="n">
        <v>64</v>
      </c>
      <c r="H8" s="2" t="n">
        <v>0</v>
      </c>
      <c r="I8" s="3" t="n">
        <v>0</v>
      </c>
      <c r="J8" s="3" t="n">
        <v>0</v>
      </c>
      <c r="K8" s="3" t="n">
        <v>0</v>
      </c>
      <c r="L8" s="13" t="n">
        <v>128</v>
      </c>
      <c r="M8" s="13" t="n">
        <v>512</v>
      </c>
      <c r="N8" s="13" t="n">
        <v>0</v>
      </c>
      <c r="O8" s="3">
        <f>C8*D8/1024</f>
        <v/>
      </c>
      <c r="P8" s="3" t="n">
        <v>0</v>
      </c>
      <c r="Q8" s="3" t="n">
        <v>0</v>
      </c>
      <c r="R8" s="3">
        <f>L8*M8/1024</f>
        <v/>
      </c>
      <c r="S8" s="3">
        <f>C8*D8*G8/128</f>
        <v/>
      </c>
      <c r="T8" s="3">
        <f>(S8/$Y$2)/1000</f>
        <v/>
      </c>
      <c r="U8" s="26">
        <f>((O8*8*1024)/$T8)/1000</f>
        <v/>
      </c>
      <c r="V8" s="26">
        <f>((P8*8*1024)/$T8)/1000</f>
        <v/>
      </c>
      <c r="W8" s="26">
        <f>((Q8*8*1024)/$T8)/1000</f>
        <v/>
      </c>
      <c r="X8" s="26">
        <f>((R8*8*1024)/$T8)/1000</f>
        <v/>
      </c>
    </row>
    <row r="9">
      <c r="A9" s="7" t="inlineStr">
        <is>
          <t>KptEnc 128-&gt;256</t>
        </is>
      </c>
      <c r="B9" s="7" t="inlineStr">
        <is>
          <t>multiply</t>
        </is>
      </c>
      <c r="C9" s="11" t="n">
        <v>256</v>
      </c>
      <c r="D9" s="11" t="n">
        <v>512</v>
      </c>
      <c r="E9" s="11" t="n">
        <v>0</v>
      </c>
      <c r="F9" s="2" t="n">
        <v>0</v>
      </c>
      <c r="G9" s="2" t="n">
        <v>128</v>
      </c>
      <c r="H9" s="2" t="n">
        <v>0</v>
      </c>
      <c r="I9" s="3" t="n">
        <v>0</v>
      </c>
      <c r="J9" s="3" t="n">
        <v>0</v>
      </c>
      <c r="K9" s="3" t="n">
        <v>0</v>
      </c>
      <c r="L9" s="13" t="n">
        <v>256</v>
      </c>
      <c r="M9" s="13" t="n">
        <v>512</v>
      </c>
      <c r="N9" s="13" t="n">
        <v>0</v>
      </c>
      <c r="O9" s="3">
        <f>C9*D9/1024</f>
        <v/>
      </c>
      <c r="P9" s="3" t="n">
        <v>0</v>
      </c>
      <c r="Q9" s="3" t="n">
        <v>0</v>
      </c>
      <c r="R9" s="3">
        <f>L9*M9/1024</f>
        <v/>
      </c>
      <c r="S9" s="3">
        <f>C9*D9*G9/128</f>
        <v/>
      </c>
      <c r="T9" s="3">
        <f>(S9/$Y$2)/1000</f>
        <v/>
      </c>
      <c r="U9" s="26">
        <f>((O9*8*1024)/$T9)/1000</f>
        <v/>
      </c>
      <c r="V9" s="26">
        <f>((P9*8*1024)/$T9)/1000</f>
        <v/>
      </c>
      <c r="W9" s="26">
        <f>((Q9*8*1024)/$T9)/1000</f>
        <v/>
      </c>
      <c r="X9" s="26">
        <f>((R9*8*1024)/$T9)/1000</f>
        <v/>
      </c>
    </row>
    <row r="10">
      <c r="A10" s="7" t="inlineStr">
        <is>
          <t>KptEnc 128-&gt;256</t>
        </is>
      </c>
      <c r="B10" s="7" t="inlineStr">
        <is>
          <t>accumulate</t>
        </is>
      </c>
      <c r="C10" s="11" t="n">
        <v>256</v>
      </c>
      <c r="D10" s="11" t="n">
        <v>512</v>
      </c>
      <c r="E10" s="11" t="n">
        <v>0</v>
      </c>
      <c r="F10" s="2" t="n">
        <v>0</v>
      </c>
      <c r="G10" s="2" t="n">
        <v>128</v>
      </c>
      <c r="H10" s="2" t="n">
        <v>0</v>
      </c>
      <c r="I10" s="3" t="n">
        <v>0</v>
      </c>
      <c r="J10" s="3" t="n">
        <v>0</v>
      </c>
      <c r="K10" s="3" t="n">
        <v>0</v>
      </c>
      <c r="L10" s="13" t="n">
        <v>256</v>
      </c>
      <c r="M10" s="13" t="n">
        <v>512</v>
      </c>
      <c r="N10" s="13" t="n">
        <v>0</v>
      </c>
      <c r="O10" s="3">
        <f>C10*D10/1024</f>
        <v/>
      </c>
      <c r="P10" s="3" t="n">
        <v>0</v>
      </c>
      <c r="Q10" s="3" t="n">
        <v>0</v>
      </c>
      <c r="R10" s="3">
        <f>L10*M10/1024</f>
        <v/>
      </c>
      <c r="S10" s="3">
        <f>C10*D10*G10/128</f>
        <v/>
      </c>
      <c r="T10" s="3">
        <f>(S10/$Y$2)/1000</f>
        <v/>
      </c>
      <c r="U10" s="26">
        <f>((O10*8*1024)/$T10)/1000</f>
        <v/>
      </c>
      <c r="V10" s="26">
        <f>((P10*8*1024)/$T10)/1000</f>
        <v/>
      </c>
      <c r="W10" s="26">
        <f>((Q10*8*1024)/$T10)/1000</f>
        <v/>
      </c>
      <c r="X10" s="26">
        <f>((R10*8*1024)/$T10)/1000</f>
        <v/>
      </c>
    </row>
    <row r="11">
      <c r="A11" s="7" t="inlineStr">
        <is>
          <t>Residual desc+=enc</t>
        </is>
      </c>
      <c r="B11" s="7" t="inlineStr">
        <is>
          <t>add</t>
        </is>
      </c>
      <c r="C11" s="11" t="n">
        <v>256</v>
      </c>
      <c r="D11" s="11" t="n">
        <v>512</v>
      </c>
      <c r="E11" s="11" t="n">
        <v>0</v>
      </c>
      <c r="F11" s="2" t="n">
        <v>0</v>
      </c>
      <c r="G11" s="2" t="n">
        <v>0</v>
      </c>
      <c r="H11" s="2" t="n">
        <v>0</v>
      </c>
      <c r="I11" s="3" t="n">
        <v>0</v>
      </c>
      <c r="J11" s="3" t="n">
        <v>0</v>
      </c>
      <c r="K11" s="3" t="n">
        <v>0</v>
      </c>
      <c r="L11" s="13" t="n">
        <v>256</v>
      </c>
      <c r="M11" s="13" t="n">
        <v>512</v>
      </c>
      <c r="N11" s="13" t="n">
        <v>0</v>
      </c>
      <c r="O11" s="3">
        <f>C11*D11/1024</f>
        <v/>
      </c>
      <c r="P11" s="3" t="n">
        <v>0</v>
      </c>
      <c r="Q11" s="3" t="n">
        <v>0</v>
      </c>
      <c r="R11" s="3">
        <f>L11*M11/1024</f>
        <v/>
      </c>
      <c r="S11" s="3">
        <f>C11*D11/128</f>
        <v/>
      </c>
      <c r="T11" s="3">
        <f>(S11/$Y$2)/1000</f>
        <v/>
      </c>
      <c r="U11" s="26">
        <f>((O11*8*1024)/$T11)/1000</f>
        <v/>
      </c>
      <c r="V11" s="26">
        <f>((P11*8*1024)/$T11)/1000</f>
        <v/>
      </c>
      <c r="W11" s="26">
        <f>((Q11*8*1024)/$T11)/1000</f>
        <v/>
      </c>
      <c r="X11" s="26">
        <f>((R11*8*1024)/$T11)/1000</f>
        <v/>
      </c>
      <c r="Y11" s="17" t="inlineStr">
        <is>
          <t>Encoder total [us] -&gt;</t>
        </is>
      </c>
      <c r="Z11" s="17">
        <f>2*(SUM(T3:T11))</f>
        <v/>
      </c>
    </row>
    <row r="12">
      <c r="A12" s="7" t="inlineStr">
        <is>
          <t>Q proj D-&gt;D</t>
        </is>
      </c>
      <c r="B12" s="7" t="inlineStr">
        <is>
          <t>multiply</t>
        </is>
      </c>
      <c r="C12" s="11" t="n">
        <v>256</v>
      </c>
      <c r="D12" s="11" t="n">
        <v>512</v>
      </c>
      <c r="E12" s="11" t="n">
        <v>0</v>
      </c>
      <c r="F12" s="2" t="n">
        <v>0</v>
      </c>
      <c r="G12" s="2" t="n">
        <v>256</v>
      </c>
      <c r="H12" s="2" t="n">
        <v>0</v>
      </c>
      <c r="I12" s="3" t="n">
        <v>0</v>
      </c>
      <c r="J12" s="3" t="n">
        <v>0</v>
      </c>
      <c r="K12" s="3" t="n">
        <v>0</v>
      </c>
      <c r="L12" s="13" t="n">
        <v>256</v>
      </c>
      <c r="M12" s="13" t="n">
        <v>512</v>
      </c>
      <c r="N12" s="13" t="n">
        <v>0</v>
      </c>
      <c r="O12" s="3">
        <f>C12*D12/1024</f>
        <v/>
      </c>
      <c r="P12" s="3" t="n">
        <v>0</v>
      </c>
      <c r="Q12" s="3" t="n">
        <v>0</v>
      </c>
      <c r="R12" s="3">
        <f>L12*M12/1024</f>
        <v/>
      </c>
      <c r="S12" s="3">
        <f>C12*D12*G12/128</f>
        <v/>
      </c>
      <c r="T12" s="3">
        <f>(S12/$Y$2)/1000</f>
        <v/>
      </c>
      <c r="U12" s="26">
        <f>((O12*8*1024)/$T12)/1000</f>
        <v/>
      </c>
      <c r="V12" s="26">
        <f>((P12*8*1024)/$T12)/1000</f>
        <v/>
      </c>
      <c r="W12" s="26">
        <f>((Q12*8*1024)/$T12)/1000</f>
        <v/>
      </c>
      <c r="X12" s="26">
        <f>((R12*8*1024)/$T12)/1000</f>
        <v/>
      </c>
    </row>
    <row r="13">
      <c r="A13" s="7" t="inlineStr">
        <is>
          <t>Q proj D-&gt;D</t>
        </is>
      </c>
      <c r="B13" s="7" t="inlineStr">
        <is>
          <t>accumulate</t>
        </is>
      </c>
      <c r="C13" s="11" t="n">
        <v>256</v>
      </c>
      <c r="D13" s="11" t="n">
        <v>512</v>
      </c>
      <c r="E13" s="11" t="n">
        <v>0</v>
      </c>
      <c r="F13" s="2" t="n">
        <v>0</v>
      </c>
      <c r="G13" s="2" t="n">
        <v>256</v>
      </c>
      <c r="H13" s="2" t="n">
        <v>0</v>
      </c>
      <c r="I13" s="3" t="n">
        <v>0</v>
      </c>
      <c r="J13" s="3" t="n">
        <v>0</v>
      </c>
      <c r="K13" s="3" t="n">
        <v>0</v>
      </c>
      <c r="L13" s="13" t="n">
        <v>256</v>
      </c>
      <c r="M13" s="13" t="n">
        <v>512</v>
      </c>
      <c r="N13" s="13" t="n">
        <v>0</v>
      </c>
      <c r="O13" s="3">
        <f>C13*D13/1024</f>
        <v/>
      </c>
      <c r="P13" s="3" t="n">
        <v>0</v>
      </c>
      <c r="Q13" s="3" t="n">
        <v>0</v>
      </c>
      <c r="R13" s="3">
        <f>L13*M13/1024</f>
        <v/>
      </c>
      <c r="S13" s="3">
        <f>C13*D13*G13/128</f>
        <v/>
      </c>
      <c r="T13" s="3">
        <f>(S13/$Y$2)/1000</f>
        <v/>
      </c>
      <c r="U13" s="26">
        <f>((O13*8*1024)/$T13)/1000</f>
        <v/>
      </c>
      <c r="V13" s="26">
        <f>((P13*8*1024)/$T13)/1000</f>
        <v/>
      </c>
      <c r="W13" s="26">
        <f>((Q13*8*1024)/$T13)/1000</f>
        <v/>
      </c>
      <c r="X13" s="26">
        <f>((R13*8*1024)/$T13)/1000</f>
        <v/>
      </c>
    </row>
    <row r="14">
      <c r="A14" s="7" t="inlineStr">
        <is>
          <t>K proj D-&gt;D</t>
        </is>
      </c>
      <c r="B14" s="7" t="inlineStr">
        <is>
          <t>multiply</t>
        </is>
      </c>
      <c r="C14" s="11" t="n">
        <v>256</v>
      </c>
      <c r="D14" s="11" t="n">
        <v>512</v>
      </c>
      <c r="E14" s="11" t="n">
        <v>0</v>
      </c>
      <c r="F14" s="2" t="n">
        <v>0</v>
      </c>
      <c r="G14" s="2" t="n">
        <v>256</v>
      </c>
      <c r="H14" s="2" t="n">
        <v>0</v>
      </c>
      <c r="I14" s="3" t="n">
        <v>0</v>
      </c>
      <c r="J14" s="3" t="n">
        <v>0</v>
      </c>
      <c r="K14" s="3" t="n">
        <v>0</v>
      </c>
      <c r="L14" s="13" t="n">
        <v>256</v>
      </c>
      <c r="M14" s="13" t="n">
        <v>512</v>
      </c>
      <c r="N14" s="13" t="n">
        <v>0</v>
      </c>
      <c r="O14" s="3">
        <f>C14*D14/1024</f>
        <v/>
      </c>
      <c r="P14" s="3" t="n">
        <v>0</v>
      </c>
      <c r="Q14" s="3" t="n">
        <v>0</v>
      </c>
      <c r="R14" s="3">
        <f>L14*M14/1024</f>
        <v/>
      </c>
      <c r="S14" s="3">
        <f>C14*D14*G14/128</f>
        <v/>
      </c>
      <c r="T14" s="3">
        <f>(S14/$Y$2)/1000</f>
        <v/>
      </c>
      <c r="U14" s="26">
        <f>((O14*8*1024)/$T14)/1000</f>
        <v/>
      </c>
      <c r="V14" s="26">
        <f>((P14*8*1024)/$T14)/1000</f>
        <v/>
      </c>
      <c r="W14" s="26">
        <f>((Q14*8*1024)/$T14)/1000</f>
        <v/>
      </c>
      <c r="X14" s="26">
        <f>((R14*8*1024)/$T14)/1000</f>
        <v/>
      </c>
    </row>
    <row r="15">
      <c r="A15" s="7" t="inlineStr">
        <is>
          <t>K proj D-&gt;D</t>
        </is>
      </c>
      <c r="B15" s="7" t="inlineStr">
        <is>
          <t>accumulate</t>
        </is>
      </c>
      <c r="C15" s="11" t="n">
        <v>256</v>
      </c>
      <c r="D15" s="11" t="n">
        <v>512</v>
      </c>
      <c r="E15" s="11" t="n">
        <v>0</v>
      </c>
      <c r="F15" s="2" t="n">
        <v>0</v>
      </c>
      <c r="G15" s="2" t="n">
        <v>256</v>
      </c>
      <c r="H15" s="2" t="n">
        <v>0</v>
      </c>
      <c r="I15" s="3" t="n">
        <v>0</v>
      </c>
      <c r="J15" s="3" t="n">
        <v>0</v>
      </c>
      <c r="K15" s="3" t="n">
        <v>0</v>
      </c>
      <c r="L15" s="13" t="n">
        <v>256</v>
      </c>
      <c r="M15" s="13" t="n">
        <v>512</v>
      </c>
      <c r="N15" s="13" t="n">
        <v>0</v>
      </c>
      <c r="O15" s="3">
        <f>C15*D15/1024</f>
        <v/>
      </c>
      <c r="P15" s="3" t="n">
        <v>0</v>
      </c>
      <c r="Q15" s="3" t="n">
        <v>0</v>
      </c>
      <c r="R15" s="3">
        <f>L15*M15/1024</f>
        <v/>
      </c>
      <c r="S15" s="3">
        <f>C15*D15*G15/128</f>
        <v/>
      </c>
      <c r="T15" s="3">
        <f>(S15/$Y$2)/1000</f>
        <v/>
      </c>
      <c r="U15" s="26">
        <f>((O15*8*1024)/$T15)/1000</f>
        <v/>
      </c>
      <c r="V15" s="26">
        <f>((P15*8*1024)/$T15)/1000</f>
        <v/>
      </c>
      <c r="W15" s="26">
        <f>((Q15*8*1024)/$T15)/1000</f>
        <v/>
      </c>
      <c r="X15" s="26">
        <f>((R15*8*1024)/$T15)/1000</f>
        <v/>
      </c>
    </row>
    <row r="16">
      <c r="A16" s="7" t="inlineStr">
        <is>
          <t>V proj D-&gt;D</t>
        </is>
      </c>
      <c r="B16" s="7" t="inlineStr">
        <is>
          <t>multiply</t>
        </is>
      </c>
      <c r="C16" s="11" t="n">
        <v>256</v>
      </c>
      <c r="D16" s="11" t="n">
        <v>512</v>
      </c>
      <c r="E16" s="11" t="n">
        <v>0</v>
      </c>
      <c r="F16" s="2" t="n">
        <v>0</v>
      </c>
      <c r="G16" s="2" t="n">
        <v>256</v>
      </c>
      <c r="H16" s="2" t="n">
        <v>0</v>
      </c>
      <c r="I16" s="3" t="n">
        <v>0</v>
      </c>
      <c r="J16" s="3" t="n">
        <v>0</v>
      </c>
      <c r="K16" s="3" t="n">
        <v>0</v>
      </c>
      <c r="L16" s="13" t="n">
        <v>256</v>
      </c>
      <c r="M16" s="13" t="n">
        <v>512</v>
      </c>
      <c r="N16" s="13" t="n">
        <v>0</v>
      </c>
      <c r="O16" s="3">
        <f>C16*D16/1024</f>
        <v/>
      </c>
      <c r="P16" s="3" t="n">
        <v>0</v>
      </c>
      <c r="Q16" s="3" t="n">
        <v>0</v>
      </c>
      <c r="R16" s="3">
        <f>L16*M16/1024</f>
        <v/>
      </c>
      <c r="S16" s="3">
        <f>C16*D16*G16/128</f>
        <v/>
      </c>
      <c r="T16" s="3">
        <f>(S16/$Y$2)/1000</f>
        <v/>
      </c>
      <c r="U16" s="26">
        <f>((O16*8*1024)/$T16)/1000</f>
        <v/>
      </c>
      <c r="V16" s="26">
        <f>((P16*8*1024)/$T16)/1000</f>
        <v/>
      </c>
      <c r="W16" s="26">
        <f>((Q16*8*1024)/$T16)/1000</f>
        <v/>
      </c>
      <c r="X16" s="26">
        <f>((R16*8*1024)/$T16)/1000</f>
        <v/>
      </c>
    </row>
    <row r="17">
      <c r="A17" s="7" t="inlineStr">
        <is>
          <t>V proj D-&gt;D</t>
        </is>
      </c>
      <c r="B17" s="7" t="inlineStr">
        <is>
          <t>accumulate</t>
        </is>
      </c>
      <c r="C17" s="11" t="n">
        <v>256</v>
      </c>
      <c r="D17" s="11" t="n">
        <v>512</v>
      </c>
      <c r="E17" s="11" t="n">
        <v>0</v>
      </c>
      <c r="F17" s="2" t="n">
        <v>0</v>
      </c>
      <c r="G17" s="2" t="n">
        <v>256</v>
      </c>
      <c r="H17" s="2" t="n">
        <v>0</v>
      </c>
      <c r="I17" s="3" t="n">
        <v>0</v>
      </c>
      <c r="J17" s="3" t="n">
        <v>0</v>
      </c>
      <c r="K17" s="3" t="n">
        <v>0</v>
      </c>
      <c r="L17" s="13" t="n">
        <v>256</v>
      </c>
      <c r="M17" s="13" t="n">
        <v>512</v>
      </c>
      <c r="N17" s="13" t="n">
        <v>0</v>
      </c>
      <c r="O17" s="3">
        <f>C17*D17/1024</f>
        <v/>
      </c>
      <c r="P17" s="3" t="n">
        <v>0</v>
      </c>
      <c r="Q17" s="3" t="n">
        <v>0</v>
      </c>
      <c r="R17" s="3">
        <f>L17*M17/1024</f>
        <v/>
      </c>
      <c r="S17" s="3">
        <f>C17*D17*G17/128</f>
        <v/>
      </c>
      <c r="T17" s="3">
        <f>(S17/$Y$2)/1000</f>
        <v/>
      </c>
      <c r="U17" s="26">
        <f>((O17*8*1024)/$T17)/1000</f>
        <v/>
      </c>
      <c r="V17" s="26">
        <f>((P17*8*1024)/$T17)/1000</f>
        <v/>
      </c>
      <c r="W17" s="26">
        <f>((Q17*8*1024)/$T17)/1000</f>
        <v/>
      </c>
      <c r="X17" s="26">
        <f>((R17*8*1024)/$T17)/1000</f>
        <v/>
      </c>
    </row>
    <row r="18">
      <c r="A18" s="7" t="inlineStr">
        <is>
          <t>head reshape Q</t>
        </is>
      </c>
      <c r="B18" s="7" t="inlineStr">
        <is>
          <t>reshape</t>
        </is>
      </c>
      <c r="C18" s="11" t="n">
        <v>64</v>
      </c>
      <c r="D18" s="11" t="n">
        <v>512</v>
      </c>
      <c r="E18" s="11" t="n">
        <v>0</v>
      </c>
      <c r="F18" s="2" t="n">
        <v>0</v>
      </c>
      <c r="G18" s="2" t="n">
        <v>0</v>
      </c>
      <c r="H18" s="2" t="n">
        <v>0</v>
      </c>
      <c r="I18" s="3" t="n">
        <v>0</v>
      </c>
      <c r="J18" s="3" t="n">
        <v>0</v>
      </c>
      <c r="K18" s="3" t="n">
        <v>0</v>
      </c>
      <c r="L18" s="13" t="n">
        <v>64</v>
      </c>
      <c r="M18" s="13" t="n">
        <v>512</v>
      </c>
      <c r="N18" s="13" t="n">
        <v>0</v>
      </c>
      <c r="O18" s="3">
        <f>C18*D18/1024</f>
        <v/>
      </c>
      <c r="P18" s="3" t="n">
        <v>0</v>
      </c>
      <c r="Q18" s="3" t="n">
        <v>0</v>
      </c>
      <c r="R18" s="3">
        <f>L18*M18/1024</f>
        <v/>
      </c>
      <c r="S18" s="3" t="inlineStr">
        <is>
          <t>0</t>
        </is>
      </c>
      <c r="T18" s="3" t="n">
        <v>0</v>
      </c>
      <c r="U18" s="26" t="n">
        <v>0</v>
      </c>
      <c r="V18" s="26" t="n">
        <v>0</v>
      </c>
      <c r="W18" s="26" t="n">
        <v>0</v>
      </c>
      <c r="X18" s="26" t="n">
        <v>0</v>
      </c>
    </row>
    <row r="19">
      <c r="A19" s="7" t="inlineStr">
        <is>
          <t>head reshape K</t>
        </is>
      </c>
      <c r="B19" s="7" t="inlineStr">
        <is>
          <t>reshape</t>
        </is>
      </c>
      <c r="C19" s="11" t="n">
        <v>64</v>
      </c>
      <c r="D19" s="11" t="n">
        <v>512</v>
      </c>
      <c r="E19" s="11" t="n">
        <v>0</v>
      </c>
      <c r="F19" s="2" t="n">
        <v>0</v>
      </c>
      <c r="G19" s="2" t="n">
        <v>0</v>
      </c>
      <c r="H19" s="2" t="n">
        <v>0</v>
      </c>
      <c r="I19" s="3" t="n">
        <v>0</v>
      </c>
      <c r="J19" s="3" t="n">
        <v>0</v>
      </c>
      <c r="K19" s="3" t="n">
        <v>0</v>
      </c>
      <c r="L19" s="13" t="n">
        <v>64</v>
      </c>
      <c r="M19" s="13" t="n">
        <v>512</v>
      </c>
      <c r="N19" s="13" t="n">
        <v>0</v>
      </c>
      <c r="O19" s="3">
        <f>C19*D19/1024</f>
        <v/>
      </c>
      <c r="P19" s="3" t="n">
        <v>0</v>
      </c>
      <c r="Q19" s="3" t="n">
        <v>0</v>
      </c>
      <c r="R19" s="3">
        <f>L19*M19/1024</f>
        <v/>
      </c>
      <c r="S19" s="3" t="inlineStr">
        <is>
          <t>0</t>
        </is>
      </c>
      <c r="T19" s="3" t="n">
        <v>0</v>
      </c>
      <c r="U19" s="26" t="n">
        <v>0</v>
      </c>
      <c r="V19" s="26" t="n">
        <v>0</v>
      </c>
      <c r="W19" s="26" t="n">
        <v>0</v>
      </c>
      <c r="X19" s="26" t="n">
        <v>0</v>
      </c>
    </row>
    <row r="20">
      <c r="A20" s="7" t="inlineStr">
        <is>
          <t>head reshape V</t>
        </is>
      </c>
      <c r="B20" s="7" t="inlineStr">
        <is>
          <t>reshape</t>
        </is>
      </c>
      <c r="C20" s="11" t="n">
        <v>64</v>
      </c>
      <c r="D20" s="11" t="n">
        <v>512</v>
      </c>
      <c r="E20" s="11" t="n">
        <v>0</v>
      </c>
      <c r="F20" s="2" t="n">
        <v>0</v>
      </c>
      <c r="G20" s="2" t="n">
        <v>0</v>
      </c>
      <c r="H20" s="2" t="n">
        <v>0</v>
      </c>
      <c r="I20" s="3" t="n">
        <v>0</v>
      </c>
      <c r="J20" s="3" t="n">
        <v>0</v>
      </c>
      <c r="K20" s="3" t="n">
        <v>0</v>
      </c>
      <c r="L20" s="13" t="n">
        <v>64</v>
      </c>
      <c r="M20" s="13" t="n">
        <v>512</v>
      </c>
      <c r="N20" s="13" t="n">
        <v>0</v>
      </c>
      <c r="O20" s="3">
        <f>C20*D20/1024</f>
        <v/>
      </c>
      <c r="P20" s="3" t="n">
        <v>0</v>
      </c>
      <c r="Q20" s="3" t="n">
        <v>0</v>
      </c>
      <c r="R20" s="3">
        <f>L20*M20/1024</f>
        <v/>
      </c>
      <c r="S20" s="3" t="inlineStr">
        <is>
          <t>0</t>
        </is>
      </c>
      <c r="T20" s="3" t="n">
        <v>0</v>
      </c>
      <c r="U20" s="26" t="n">
        <v>0</v>
      </c>
      <c r="V20" s="26" t="n">
        <v>0</v>
      </c>
      <c r="W20" s="26" t="n">
        <v>0</v>
      </c>
      <c r="X20" s="26" t="n">
        <v>0</v>
      </c>
    </row>
    <row r="21">
      <c r="A21" s="7" t="inlineStr">
        <is>
          <t>QKt (1 head)</t>
        </is>
      </c>
      <c r="B21" s="7" t="inlineStr">
        <is>
          <t>multiply</t>
        </is>
      </c>
      <c r="C21" s="11" t="n">
        <v>512</v>
      </c>
      <c r="D21" s="11" t="n">
        <v>512</v>
      </c>
      <c r="E21" s="11" t="n">
        <v>0</v>
      </c>
      <c r="F21" s="2" t="n">
        <v>0</v>
      </c>
      <c r="G21" s="2" t="n">
        <v>64</v>
      </c>
      <c r="H21" s="2" t="n">
        <v>0</v>
      </c>
      <c r="I21" s="3" t="n">
        <v>0</v>
      </c>
      <c r="J21" s="3" t="n">
        <v>0</v>
      </c>
      <c r="K21" s="3" t="n">
        <v>0</v>
      </c>
      <c r="L21" s="13" t="n">
        <v>512</v>
      </c>
      <c r="M21" s="13" t="n">
        <v>512</v>
      </c>
      <c r="N21" s="13" t="n">
        <v>0</v>
      </c>
      <c r="O21" s="3">
        <f>C21*D21/1024</f>
        <v/>
      </c>
      <c r="P21" s="3" t="n">
        <v>0</v>
      </c>
      <c r="Q21" s="3" t="n">
        <v>0</v>
      </c>
      <c r="R21" s="3">
        <f>L21*M21/1024</f>
        <v/>
      </c>
      <c r="S21" s="3">
        <f>C21*D21*G21/128</f>
        <v/>
      </c>
      <c r="T21" s="3">
        <f>(S21/$Y$2)/1000</f>
        <v/>
      </c>
      <c r="U21" s="26">
        <f>((O21*8*1024)/$T21)/1000</f>
        <v/>
      </c>
      <c r="V21" s="26">
        <f>((P21*8*1024)/$T21)/1000</f>
        <v/>
      </c>
      <c r="W21" s="26">
        <f>((Q21*8*1024)/$T21)/1000</f>
        <v/>
      </c>
      <c r="X21" s="26">
        <f>((R21*8*1024)/$T21)/1000</f>
        <v/>
      </c>
    </row>
    <row r="22">
      <c r="A22" s="7" t="inlineStr">
        <is>
          <t>QKt (1 head)</t>
        </is>
      </c>
      <c r="B22" s="7" t="inlineStr">
        <is>
          <t>accumulate</t>
        </is>
      </c>
      <c r="C22" s="11" t="n">
        <v>512</v>
      </c>
      <c r="D22" s="11" t="n">
        <v>512</v>
      </c>
      <c r="E22" s="11" t="n">
        <v>0</v>
      </c>
      <c r="F22" s="2" t="n">
        <v>0</v>
      </c>
      <c r="G22" s="2" t="n">
        <v>64</v>
      </c>
      <c r="H22" s="2" t="n">
        <v>0</v>
      </c>
      <c r="I22" s="3" t="n">
        <v>0</v>
      </c>
      <c r="J22" s="3" t="n">
        <v>0</v>
      </c>
      <c r="K22" s="3" t="n">
        <v>0</v>
      </c>
      <c r="L22" s="13" t="n">
        <v>512</v>
      </c>
      <c r="M22" s="13" t="n">
        <v>512</v>
      </c>
      <c r="N22" s="13" t="n">
        <v>0</v>
      </c>
      <c r="O22" s="3">
        <f>C22*D22/1024</f>
        <v/>
      </c>
      <c r="P22" s="3" t="n">
        <v>0</v>
      </c>
      <c r="Q22" s="3" t="n">
        <v>0</v>
      </c>
      <c r="R22" s="3">
        <f>L22*M22/1024</f>
        <v/>
      </c>
      <c r="S22" s="3">
        <f>C22*D22*G22/128</f>
        <v/>
      </c>
      <c r="T22" s="3">
        <f>(S22/$Y$2)/1000</f>
        <v/>
      </c>
      <c r="U22" s="26">
        <f>((O22*8*1024)/$T22)/1000</f>
        <v/>
      </c>
      <c r="V22" s="26">
        <f>((P22*8*1024)/$T22)/1000</f>
        <v/>
      </c>
      <c r="W22" s="26">
        <f>((Q22*8*1024)/$T22)/1000</f>
        <v/>
      </c>
      <c r="X22" s="26">
        <f>((R22*8*1024)/$T22)/1000</f>
        <v/>
      </c>
    </row>
    <row r="23">
      <c r="A23" s="7" t="inlineStr">
        <is>
          <t>scale 1/sqrt(d)</t>
        </is>
      </c>
      <c r="B23" s="7" t="inlineStr">
        <is>
          <t>multiply</t>
        </is>
      </c>
      <c r="C23" s="11" t="n">
        <v>512</v>
      </c>
      <c r="D23" s="11" t="n">
        <v>512</v>
      </c>
      <c r="E23" s="11" t="n">
        <v>0</v>
      </c>
      <c r="F23" s="2" t="n">
        <v>0</v>
      </c>
      <c r="G23" s="2" t="n">
        <v>0</v>
      </c>
      <c r="H23" s="2" t="n">
        <v>0</v>
      </c>
      <c r="I23" s="3" t="n">
        <v>0</v>
      </c>
      <c r="J23" s="3" t="n">
        <v>0</v>
      </c>
      <c r="K23" s="3" t="n">
        <v>0</v>
      </c>
      <c r="L23" s="13" t="n">
        <v>512</v>
      </c>
      <c r="M23" s="13" t="n">
        <v>512</v>
      </c>
      <c r="N23" s="13" t="n">
        <v>0</v>
      </c>
      <c r="O23" s="3">
        <f>C23*D23/1024</f>
        <v/>
      </c>
      <c r="P23" s="3" t="n">
        <v>0</v>
      </c>
      <c r="Q23" s="3" t="n">
        <v>0</v>
      </c>
      <c r="R23" s="3">
        <f>L23*M23/1024</f>
        <v/>
      </c>
      <c r="S23" s="3">
        <f>C23*D23/128</f>
        <v/>
      </c>
      <c r="T23" s="3">
        <f>(S23/$Y$2)/1000</f>
        <v/>
      </c>
      <c r="U23" s="26">
        <f>((O23*8*1024)/$T23)/1000</f>
        <v/>
      </c>
      <c r="V23" s="26">
        <f>((P23*8*1024)/$T23)/1000</f>
        <v/>
      </c>
      <c r="W23" s="26">
        <f>((Q23*8*1024)/$T23)/1000</f>
        <v/>
      </c>
      <c r="X23" s="26">
        <f>((R23*8*1024)/$T23)/1000</f>
        <v/>
      </c>
    </row>
    <row r="24">
      <c r="A24" s="7" t="inlineStr">
        <is>
          <t>softmax (1 head)</t>
        </is>
      </c>
      <c r="B24" s="7" t="inlineStr">
        <is>
          <t>max</t>
        </is>
      </c>
      <c r="C24" s="11" t="n">
        <v>512</v>
      </c>
      <c r="D24" s="11" t="n">
        <v>512</v>
      </c>
      <c r="E24" s="11" t="n">
        <v>0</v>
      </c>
      <c r="F24" s="2" t="n">
        <v>0</v>
      </c>
      <c r="G24" s="2" t="n">
        <v>0</v>
      </c>
      <c r="H24" s="2" t="n">
        <v>0</v>
      </c>
      <c r="I24" s="3" t="n">
        <v>0</v>
      </c>
      <c r="J24" s="3" t="n">
        <v>0</v>
      </c>
      <c r="K24" s="3" t="n">
        <v>0</v>
      </c>
      <c r="L24" s="13" t="n">
        <v>512</v>
      </c>
      <c r="M24" s="13" t="n">
        <v>512</v>
      </c>
      <c r="N24" s="13" t="n">
        <v>0</v>
      </c>
      <c r="O24" s="3">
        <f>C24*D24/1024</f>
        <v/>
      </c>
      <c r="P24" s="3" t="n">
        <v>0</v>
      </c>
      <c r="Q24" s="3" t="n">
        <v>0</v>
      </c>
      <c r="R24" s="3">
        <f>L24*M24/1024</f>
        <v/>
      </c>
      <c r="S24" s="3">
        <f>C24*D24/128</f>
        <v/>
      </c>
      <c r="T24" s="3">
        <f>(S24/$Y$2)/1000</f>
        <v/>
      </c>
      <c r="U24" s="26">
        <f>((O24*8*1024)/$T24)/1000</f>
        <v/>
      </c>
      <c r="V24" s="26">
        <f>((P24*8*1024)/$T24)/1000</f>
        <v/>
      </c>
      <c r="W24" s="26">
        <f>((Q24*8*1024)/$T24)/1000</f>
        <v/>
      </c>
      <c r="X24" s="26">
        <f>((R24*8*1024)/$T24)/1000</f>
        <v/>
      </c>
    </row>
    <row r="25">
      <c r="A25" s="7" t="inlineStr">
        <is>
          <t>softmax (1 head)</t>
        </is>
      </c>
      <c r="B25" s="7" t="inlineStr">
        <is>
          <t>subtract</t>
        </is>
      </c>
      <c r="C25" s="11" t="n">
        <v>512</v>
      </c>
      <c r="D25" s="11" t="n">
        <v>512</v>
      </c>
      <c r="E25" s="11" t="n">
        <v>0</v>
      </c>
      <c r="F25" s="2" t="n">
        <v>0</v>
      </c>
      <c r="G25" s="2" t="n">
        <v>0</v>
      </c>
      <c r="H25" s="2" t="n">
        <v>0</v>
      </c>
      <c r="I25" s="3" t="n">
        <v>0</v>
      </c>
      <c r="J25" s="3" t="n">
        <v>0</v>
      </c>
      <c r="K25" s="3" t="n">
        <v>0</v>
      </c>
      <c r="L25" s="13" t="n">
        <v>512</v>
      </c>
      <c r="M25" s="13" t="n">
        <v>512</v>
      </c>
      <c r="N25" s="13" t="n">
        <v>0</v>
      </c>
      <c r="O25" s="3">
        <f>C25*D25/1024</f>
        <v/>
      </c>
      <c r="P25" s="3" t="n">
        <v>0</v>
      </c>
      <c r="Q25" s="3" t="n">
        <v>0</v>
      </c>
      <c r="R25" s="3">
        <f>L25*M25/1024</f>
        <v/>
      </c>
      <c r="S25" s="3">
        <f>C25*D25/128</f>
        <v/>
      </c>
      <c r="T25" s="3">
        <f>(S25/$Y$2)/1000</f>
        <v/>
      </c>
      <c r="U25" s="26">
        <f>((O25*8*1024)/$T25)/1000</f>
        <v/>
      </c>
      <c r="V25" s="26">
        <f>((P25*8*1024)/$T25)/1000</f>
        <v/>
      </c>
      <c r="W25" s="26">
        <f>((Q25*8*1024)/$T25)/1000</f>
        <v/>
      </c>
      <c r="X25" s="26">
        <f>((R25*8*1024)/$T25)/1000</f>
        <v/>
      </c>
    </row>
    <row r="26">
      <c r="A26" s="7" t="inlineStr">
        <is>
          <t>softmax (1 head)</t>
        </is>
      </c>
      <c r="B26" s="7" t="inlineStr">
        <is>
          <t>exp2</t>
        </is>
      </c>
      <c r="C26" s="11" t="n">
        <v>512</v>
      </c>
      <c r="D26" s="11" t="n">
        <v>512</v>
      </c>
      <c r="E26" s="11" t="n">
        <v>0</v>
      </c>
      <c r="F26" s="2" t="n">
        <v>0</v>
      </c>
      <c r="G26" s="2" t="n">
        <v>0</v>
      </c>
      <c r="H26" s="2" t="n">
        <v>0</v>
      </c>
      <c r="I26" s="3" t="n">
        <v>0</v>
      </c>
      <c r="J26" s="3" t="n">
        <v>0</v>
      </c>
      <c r="K26" s="3" t="n">
        <v>0</v>
      </c>
      <c r="L26" s="13" t="n">
        <v>512</v>
      </c>
      <c r="M26" s="13" t="n">
        <v>512</v>
      </c>
      <c r="N26" s="13" t="n">
        <v>0</v>
      </c>
      <c r="O26" s="3">
        <f>C26*D26/1024</f>
        <v/>
      </c>
      <c r="P26" s="3" t="n">
        <v>0</v>
      </c>
      <c r="Q26" s="3" t="n">
        <v>0</v>
      </c>
      <c r="R26" s="3">
        <f>L26*M26/1024</f>
        <v/>
      </c>
      <c r="S26" s="3">
        <f>C26*D26/128</f>
        <v/>
      </c>
      <c r="T26" s="3">
        <f>(S26/$Y$2)/1000</f>
        <v/>
      </c>
      <c r="U26" s="26">
        <f>((O26*8*1024)/$T26)/1000</f>
        <v/>
      </c>
      <c r="V26" s="26">
        <f>((P26*8*1024)/$T26)/1000</f>
        <v/>
      </c>
      <c r="W26" s="26">
        <f>((Q26*8*1024)/$T26)/1000</f>
        <v/>
      </c>
      <c r="X26" s="26">
        <f>((R26*8*1024)/$T26)/1000</f>
        <v/>
      </c>
    </row>
    <row r="27">
      <c r="A27" s="7" t="inlineStr">
        <is>
          <t>softmax (1 head)</t>
        </is>
      </c>
      <c r="B27" s="7" t="inlineStr">
        <is>
          <t>sum</t>
        </is>
      </c>
      <c r="C27" s="11" t="n">
        <v>512</v>
      </c>
      <c r="D27" s="11" t="n">
        <v>512</v>
      </c>
      <c r="E27" s="11" t="n">
        <v>0</v>
      </c>
      <c r="F27" s="2" t="n">
        <v>0</v>
      </c>
      <c r="G27" s="2" t="n">
        <v>0</v>
      </c>
      <c r="H27" s="2" t="n">
        <v>0</v>
      </c>
      <c r="I27" s="3" t="n">
        <v>0</v>
      </c>
      <c r="J27" s="3" t="n">
        <v>0</v>
      </c>
      <c r="K27" s="3" t="n">
        <v>0</v>
      </c>
      <c r="L27" s="13" t="n">
        <v>512</v>
      </c>
      <c r="M27" s="13" t="n">
        <v>512</v>
      </c>
      <c r="N27" s="13" t="n">
        <v>0</v>
      </c>
      <c r="O27" s="3">
        <f>C27*D27/1024</f>
        <v/>
      </c>
      <c r="P27" s="3" t="n">
        <v>0</v>
      </c>
      <c r="Q27" s="3" t="n">
        <v>0</v>
      </c>
      <c r="R27" s="3">
        <f>L27*M27/1024</f>
        <v/>
      </c>
      <c r="S27" s="3">
        <f>C27*D27/128</f>
        <v/>
      </c>
      <c r="T27" s="3">
        <f>(S27/$Y$2)/1000</f>
        <v/>
      </c>
      <c r="U27" s="26">
        <f>((O27*8*1024)/$T27)/1000</f>
        <v/>
      </c>
      <c r="V27" s="26">
        <f>((P27*8*1024)/$T27)/1000</f>
        <v/>
      </c>
      <c r="W27" s="26">
        <f>((Q27*8*1024)/$T27)/1000</f>
        <v/>
      </c>
      <c r="X27" s="26">
        <f>((R27*8*1024)/$T27)/1000</f>
        <v/>
      </c>
    </row>
    <row r="28">
      <c r="A28" s="7" t="inlineStr">
        <is>
          <t>softmax (1 head)</t>
        </is>
      </c>
      <c r="B28" s="7" t="inlineStr">
        <is>
          <t>multiply(1/Z)</t>
        </is>
      </c>
      <c r="C28" s="11" t="n">
        <v>512</v>
      </c>
      <c r="D28" s="11" t="n">
        <v>512</v>
      </c>
      <c r="E28" s="11" t="n">
        <v>0</v>
      </c>
      <c r="F28" s="2" t="n">
        <v>0</v>
      </c>
      <c r="G28" s="2" t="n">
        <v>0</v>
      </c>
      <c r="H28" s="2" t="n">
        <v>0</v>
      </c>
      <c r="I28" s="3" t="n">
        <v>0</v>
      </c>
      <c r="J28" s="3" t="n">
        <v>0</v>
      </c>
      <c r="K28" s="3" t="n">
        <v>0</v>
      </c>
      <c r="L28" s="13" t="n">
        <v>512</v>
      </c>
      <c r="M28" s="13" t="n">
        <v>512</v>
      </c>
      <c r="N28" s="13" t="n">
        <v>0</v>
      </c>
      <c r="O28" s="3">
        <f>C28*D28/1024</f>
        <v/>
      </c>
      <c r="P28" s="3" t="n">
        <v>0</v>
      </c>
      <c r="Q28" s="3" t="n">
        <v>0</v>
      </c>
      <c r="R28" s="3">
        <f>L28*M28/1024</f>
        <v/>
      </c>
      <c r="S28" s="3">
        <f>C28*D28/128</f>
        <v/>
      </c>
      <c r="T28" s="3">
        <f>(S28/$Y$2)/1000</f>
        <v/>
      </c>
      <c r="U28" s="26">
        <f>((O28*8*1024)/$T28)/1000</f>
        <v/>
      </c>
      <c r="V28" s="26">
        <f>((P28*8*1024)/$T28)/1000</f>
        <v/>
      </c>
      <c r="W28" s="26">
        <f>((Q28*8*1024)/$T28)/1000</f>
        <v/>
      </c>
      <c r="X28" s="26">
        <f>((R28*8*1024)/$T28)/1000</f>
        <v/>
      </c>
    </row>
    <row r="29">
      <c r="A29" s="7" t="inlineStr">
        <is>
          <t>attn @ V (1 head)</t>
        </is>
      </c>
      <c r="B29" s="7" t="inlineStr">
        <is>
          <t>multiply</t>
        </is>
      </c>
      <c r="C29" s="11" t="n">
        <v>512</v>
      </c>
      <c r="D29" s="11" t="n">
        <v>64</v>
      </c>
      <c r="E29" s="11" t="n">
        <v>0</v>
      </c>
      <c r="F29" s="2" t="n">
        <v>0</v>
      </c>
      <c r="G29" s="2" t="n">
        <v>512</v>
      </c>
      <c r="H29" s="2" t="n">
        <v>0</v>
      </c>
      <c r="I29" s="3" t="n">
        <v>0</v>
      </c>
      <c r="J29" s="3" t="n">
        <v>0</v>
      </c>
      <c r="K29" s="3" t="n">
        <v>0</v>
      </c>
      <c r="L29" s="13" t="n">
        <v>512</v>
      </c>
      <c r="M29" s="13" t="n">
        <v>64</v>
      </c>
      <c r="N29" s="13" t="n">
        <v>0</v>
      </c>
      <c r="O29" s="3">
        <f>C29*D29/1024</f>
        <v/>
      </c>
      <c r="P29" s="3" t="n">
        <v>0</v>
      </c>
      <c r="Q29" s="3" t="n">
        <v>0</v>
      </c>
      <c r="R29" s="3">
        <f>L29*M29/1024</f>
        <v/>
      </c>
      <c r="S29" s="3">
        <f>C29*D29*G29/128</f>
        <v/>
      </c>
      <c r="T29" s="3">
        <f>(S29/$Y$2)/1000</f>
        <v/>
      </c>
      <c r="U29" s="26">
        <f>((O29*8*1024)/$T29)/1000</f>
        <v/>
      </c>
      <c r="V29" s="26">
        <f>((P29*8*1024)/$T29)/1000</f>
        <v/>
      </c>
      <c r="W29" s="26">
        <f>((Q29*8*1024)/$T29)/1000</f>
        <v/>
      </c>
      <c r="X29" s="26">
        <f>((R29*8*1024)/$T29)/1000</f>
        <v/>
      </c>
    </row>
    <row r="30">
      <c r="A30" s="7" t="inlineStr">
        <is>
          <t>attn @ V (1 head)</t>
        </is>
      </c>
      <c r="B30" s="7" t="inlineStr">
        <is>
          <t>accumulate</t>
        </is>
      </c>
      <c r="C30" s="11" t="n">
        <v>512</v>
      </c>
      <c r="D30" s="11" t="n">
        <v>64</v>
      </c>
      <c r="E30" s="11" t="n">
        <v>0</v>
      </c>
      <c r="F30" s="2" t="n">
        <v>0</v>
      </c>
      <c r="G30" s="2" t="n">
        <v>512</v>
      </c>
      <c r="H30" s="2" t="n">
        <v>0</v>
      </c>
      <c r="I30" s="3" t="n">
        <v>0</v>
      </c>
      <c r="J30" s="3" t="n">
        <v>0</v>
      </c>
      <c r="K30" s="3" t="n">
        <v>0</v>
      </c>
      <c r="L30" s="13" t="n">
        <v>512</v>
      </c>
      <c r="M30" s="13" t="n">
        <v>64</v>
      </c>
      <c r="N30" s="13" t="n">
        <v>0</v>
      </c>
      <c r="O30" s="3">
        <f>C30*D30/1024</f>
        <v/>
      </c>
      <c r="P30" s="3" t="n">
        <v>0</v>
      </c>
      <c r="Q30" s="3" t="n">
        <v>0</v>
      </c>
      <c r="R30" s="3">
        <f>L30*M30/1024</f>
        <v/>
      </c>
      <c r="S30" s="3">
        <f>C30*D30*G30/128</f>
        <v/>
      </c>
      <c r="T30" s="3">
        <f>(S30/$Y$2)/1000</f>
        <v/>
      </c>
      <c r="U30" s="26">
        <f>((O30*8*1024)/$T30)/1000</f>
        <v/>
      </c>
      <c r="V30" s="26">
        <f>((P30*8*1024)/$T30)/1000</f>
        <v/>
      </c>
      <c r="W30" s="26">
        <f>((Q30*8*1024)/$T30)/1000</f>
        <v/>
      </c>
      <c r="X30" s="26">
        <f>((R30*8*1024)/$T30)/1000</f>
        <v/>
      </c>
    </row>
    <row r="31">
      <c r="A31" s="7" t="inlineStr">
        <is>
          <t>concat heads</t>
        </is>
      </c>
      <c r="B31" s="7" t="inlineStr">
        <is>
          <t>reshape</t>
        </is>
      </c>
      <c r="C31" s="11" t="n">
        <v>256</v>
      </c>
      <c r="D31" s="11" t="n">
        <v>512</v>
      </c>
      <c r="E31" s="11" t="n">
        <v>0</v>
      </c>
      <c r="F31" s="2" t="n">
        <v>0</v>
      </c>
      <c r="G31" s="2" t="n">
        <v>0</v>
      </c>
      <c r="H31" s="2" t="n">
        <v>0</v>
      </c>
      <c r="I31" s="3" t="n">
        <v>0</v>
      </c>
      <c r="J31" s="3" t="n">
        <v>0</v>
      </c>
      <c r="K31" s="3" t="n">
        <v>0</v>
      </c>
      <c r="L31" s="13" t="n">
        <v>256</v>
      </c>
      <c r="M31" s="13" t="n">
        <v>512</v>
      </c>
      <c r="N31" s="13" t="n">
        <v>0</v>
      </c>
      <c r="O31" s="3">
        <f>C31*D31/1024</f>
        <v/>
      </c>
      <c r="P31" s="3" t="n">
        <v>0</v>
      </c>
      <c r="Q31" s="3" t="n">
        <v>0</v>
      </c>
      <c r="R31" s="3">
        <f>L31*M31/1024</f>
        <v/>
      </c>
      <c r="S31" s="3" t="inlineStr">
        <is>
          <t>0</t>
        </is>
      </c>
      <c r="T31" s="3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17" t="inlineStr">
        <is>
          <t>total 4 heads [us]</t>
        </is>
      </c>
      <c r="Z31" s="17">
        <f>4*(SUM(T21:T30))</f>
        <v/>
      </c>
    </row>
    <row r="32">
      <c r="A32" s="7" t="inlineStr">
        <is>
          <t>out proj D-&gt;D</t>
        </is>
      </c>
      <c r="B32" s="7" t="inlineStr">
        <is>
          <t>multiply</t>
        </is>
      </c>
      <c r="C32" s="11" t="n">
        <v>256</v>
      </c>
      <c r="D32" s="11" t="n">
        <v>512</v>
      </c>
      <c r="E32" s="11" t="n">
        <v>0</v>
      </c>
      <c r="F32" s="2" t="n">
        <v>0</v>
      </c>
      <c r="G32" s="2" t="n">
        <v>256</v>
      </c>
      <c r="H32" s="2" t="n">
        <v>0</v>
      </c>
      <c r="I32" s="3" t="n">
        <v>0</v>
      </c>
      <c r="J32" s="3" t="n">
        <v>0</v>
      </c>
      <c r="K32" s="3" t="n">
        <v>0</v>
      </c>
      <c r="L32" s="13" t="n">
        <v>256</v>
      </c>
      <c r="M32" s="13" t="n">
        <v>512</v>
      </c>
      <c r="N32" s="13" t="n">
        <v>0</v>
      </c>
      <c r="O32" s="3">
        <f>C32*D32/1024</f>
        <v/>
      </c>
      <c r="P32" s="3" t="n">
        <v>0</v>
      </c>
      <c r="Q32" s="3" t="n">
        <v>0</v>
      </c>
      <c r="R32" s="3">
        <f>L32*M32/1024</f>
        <v/>
      </c>
      <c r="S32" s="3">
        <f>C32*D32*G32/128</f>
        <v/>
      </c>
      <c r="T32" s="3">
        <f>(S32/$Y$2)/1000</f>
        <v/>
      </c>
      <c r="U32" s="26">
        <f>((O32*8*1024)/$T32)/1000</f>
        <v/>
      </c>
      <c r="V32" s="26">
        <f>((P32*8*1024)/$T32)/1000</f>
        <v/>
      </c>
      <c r="W32" s="26">
        <f>((Q32*8*1024)/$T32)/1000</f>
        <v/>
      </c>
      <c r="X32" s="26">
        <f>((R32*8*1024)/$T32)/1000</f>
        <v/>
      </c>
    </row>
    <row r="33">
      <c r="A33" s="7" t="inlineStr">
        <is>
          <t>out proj D-&gt;D</t>
        </is>
      </c>
      <c r="B33" s="7" t="inlineStr">
        <is>
          <t>accumulate</t>
        </is>
      </c>
      <c r="C33" s="11" t="n">
        <v>256</v>
      </c>
      <c r="D33" s="11" t="n">
        <v>512</v>
      </c>
      <c r="E33" s="11" t="n">
        <v>0</v>
      </c>
      <c r="F33" s="2" t="n">
        <v>0</v>
      </c>
      <c r="G33" s="2" t="n">
        <v>256</v>
      </c>
      <c r="H33" s="2" t="n">
        <v>0</v>
      </c>
      <c r="I33" s="3" t="n">
        <v>0</v>
      </c>
      <c r="J33" s="3" t="n">
        <v>0</v>
      </c>
      <c r="K33" s="3" t="n">
        <v>0</v>
      </c>
      <c r="L33" s="13" t="n">
        <v>256</v>
      </c>
      <c r="M33" s="13" t="n">
        <v>512</v>
      </c>
      <c r="N33" s="13" t="n">
        <v>0</v>
      </c>
      <c r="O33" s="3">
        <f>C33*D33/1024</f>
        <v/>
      </c>
      <c r="P33" s="3" t="n">
        <v>0</v>
      </c>
      <c r="Q33" s="3" t="n">
        <v>0</v>
      </c>
      <c r="R33" s="3">
        <f>L33*M33/1024</f>
        <v/>
      </c>
      <c r="S33" s="3">
        <f>C33*D33*G33/128</f>
        <v/>
      </c>
      <c r="T33" s="3">
        <f>(S33/$Y$2)/1000</f>
        <v/>
      </c>
      <c r="U33" s="26">
        <f>((O33*8*1024)/$T33)/1000</f>
        <v/>
      </c>
      <c r="V33" s="26">
        <f>((P33*8*1024)/$T33)/1000</f>
        <v/>
      </c>
      <c r="W33" s="26">
        <f>((Q33*8*1024)/$T33)/1000</f>
        <v/>
      </c>
      <c r="X33" s="26">
        <f>((R33*8*1024)/$T33)/1000</f>
        <v/>
      </c>
    </row>
    <row r="34">
      <c r="A34" s="7" t="inlineStr">
        <is>
          <t>Residual x+=msg</t>
        </is>
      </c>
      <c r="B34" s="7" t="inlineStr">
        <is>
          <t>add</t>
        </is>
      </c>
      <c r="C34" s="11" t="n">
        <v>256</v>
      </c>
      <c r="D34" s="11" t="n">
        <v>512</v>
      </c>
      <c r="E34" s="11" t="n">
        <v>0</v>
      </c>
      <c r="F34" s="2" t="n">
        <v>0</v>
      </c>
      <c r="G34" s="2" t="n">
        <v>0</v>
      </c>
      <c r="H34" s="2" t="n">
        <v>0</v>
      </c>
      <c r="I34" s="3" t="n">
        <v>0</v>
      </c>
      <c r="J34" s="3" t="n">
        <v>0</v>
      </c>
      <c r="K34" s="3" t="n">
        <v>0</v>
      </c>
      <c r="L34" s="13" t="n">
        <v>256</v>
      </c>
      <c r="M34" s="13" t="n">
        <v>512</v>
      </c>
      <c r="N34" s="13" t="n">
        <v>0</v>
      </c>
      <c r="O34" s="3">
        <f>C34*D34/1024</f>
        <v/>
      </c>
      <c r="P34" s="3" t="n">
        <v>0</v>
      </c>
      <c r="Q34" s="3" t="n">
        <v>0</v>
      </c>
      <c r="R34" s="3">
        <f>L34*M34/1024</f>
        <v/>
      </c>
      <c r="S34" s="3">
        <f>C34*D34/128</f>
        <v/>
      </c>
      <c r="T34" s="3">
        <f>(S34/$Y$2)/1000</f>
        <v/>
      </c>
      <c r="U34" s="26">
        <f>((O34*8*1024)/$T34)/1000</f>
        <v/>
      </c>
      <c r="V34" s="26">
        <f>((P34*8*1024)/$T34)/1000</f>
        <v/>
      </c>
      <c r="W34" s="26">
        <f>((Q34*8*1024)/$T34)/1000</f>
        <v/>
      </c>
      <c r="X34" s="26">
        <f>((R34*8*1024)/$T34)/1000</f>
        <v/>
      </c>
    </row>
    <row r="35">
      <c r="A35" s="7" t="inlineStr">
        <is>
          <t>merge MLP 2D-&gt;2D</t>
        </is>
      </c>
      <c r="B35" s="7" t="inlineStr">
        <is>
          <t>multiply</t>
        </is>
      </c>
      <c r="C35" s="11" t="n">
        <v>512</v>
      </c>
      <c r="D35" s="11" t="n">
        <v>512</v>
      </c>
      <c r="E35" s="11" t="n">
        <v>0</v>
      </c>
      <c r="F35" s="2" t="n">
        <v>0</v>
      </c>
      <c r="G35" s="2" t="n">
        <v>512</v>
      </c>
      <c r="H35" s="2" t="n">
        <v>0</v>
      </c>
      <c r="I35" s="3" t="n">
        <v>0</v>
      </c>
      <c r="J35" s="3" t="n">
        <v>0</v>
      </c>
      <c r="K35" s="3" t="n">
        <v>0</v>
      </c>
      <c r="L35" s="13" t="n">
        <v>512</v>
      </c>
      <c r="M35" s="13" t="n">
        <v>512</v>
      </c>
      <c r="N35" s="13" t="n">
        <v>0</v>
      </c>
      <c r="O35" s="3">
        <f>C35*D35/1024</f>
        <v/>
      </c>
      <c r="P35" s="3" t="n">
        <v>0</v>
      </c>
      <c r="Q35" s="3" t="n">
        <v>0</v>
      </c>
      <c r="R35" s="3">
        <f>L35*M35/1024</f>
        <v/>
      </c>
      <c r="S35" s="3">
        <f>C35*D35*G35/128</f>
        <v/>
      </c>
      <c r="T35" s="3">
        <f>(S35/$Y$2)/1000</f>
        <v/>
      </c>
      <c r="U35" s="26">
        <f>((O35*8*1024)/$T35)/1000</f>
        <v/>
      </c>
      <c r="V35" s="26">
        <f>((P35*8*1024)/$T35)/1000</f>
        <v/>
      </c>
      <c r="W35" s="26">
        <f>((Q35*8*1024)/$T35)/1000</f>
        <v/>
      </c>
      <c r="X35" s="26">
        <f>((R35*8*1024)/$T35)/1000</f>
        <v/>
      </c>
    </row>
    <row r="36">
      <c r="A36" s="7" t="inlineStr">
        <is>
          <t>merge MLP 2D-&gt;2D</t>
        </is>
      </c>
      <c r="B36" s="7" t="inlineStr">
        <is>
          <t>accumulate</t>
        </is>
      </c>
      <c r="C36" s="11" t="n">
        <v>512</v>
      </c>
      <c r="D36" s="11" t="n">
        <v>512</v>
      </c>
      <c r="E36" s="11" t="n">
        <v>0</v>
      </c>
      <c r="F36" s="2" t="n">
        <v>0</v>
      </c>
      <c r="G36" s="2" t="n">
        <v>512</v>
      </c>
      <c r="H36" s="2" t="n">
        <v>0</v>
      </c>
      <c r="I36" s="3" t="n">
        <v>0</v>
      </c>
      <c r="J36" s="3" t="n">
        <v>0</v>
      </c>
      <c r="K36" s="3" t="n">
        <v>0</v>
      </c>
      <c r="L36" s="13" t="n">
        <v>512</v>
      </c>
      <c r="M36" s="13" t="n">
        <v>512</v>
      </c>
      <c r="N36" s="13" t="n">
        <v>0</v>
      </c>
      <c r="O36" s="3">
        <f>C36*D36/1024</f>
        <v/>
      </c>
      <c r="P36" s="3" t="n">
        <v>0</v>
      </c>
      <c r="Q36" s="3" t="n">
        <v>0</v>
      </c>
      <c r="R36" s="3">
        <f>L36*M36/1024</f>
        <v/>
      </c>
      <c r="S36" s="3">
        <f>C36*D36*G36/128</f>
        <v/>
      </c>
      <c r="T36" s="3">
        <f>(S36/$Y$2)/1000</f>
        <v/>
      </c>
      <c r="U36" s="26">
        <f>((O36*8*1024)/$T36)/1000</f>
        <v/>
      </c>
      <c r="V36" s="26">
        <f>((P36*8*1024)/$T36)/1000</f>
        <v/>
      </c>
      <c r="W36" s="26">
        <f>((Q36*8*1024)/$T36)/1000</f>
        <v/>
      </c>
      <c r="X36" s="26">
        <f>((R36*8*1024)/$T36)/1000</f>
        <v/>
      </c>
    </row>
    <row r="37">
      <c r="A37" s="7" t="inlineStr">
        <is>
          <t>merge MLP relu</t>
        </is>
      </c>
      <c r="B37" s="7" t="inlineStr">
        <is>
          <t>relu</t>
        </is>
      </c>
      <c r="C37" s="11" t="n">
        <v>512</v>
      </c>
      <c r="D37" s="11" t="n">
        <v>512</v>
      </c>
      <c r="E37" s="11" t="n">
        <v>0</v>
      </c>
      <c r="F37" s="2" t="n">
        <v>0</v>
      </c>
      <c r="G37" s="2" t="n">
        <v>0</v>
      </c>
      <c r="H37" s="2" t="n">
        <v>0</v>
      </c>
      <c r="I37" s="3" t="n">
        <v>0</v>
      </c>
      <c r="J37" s="3" t="n">
        <v>0</v>
      </c>
      <c r="K37" s="3" t="n">
        <v>0</v>
      </c>
      <c r="L37" s="13" t="n">
        <v>512</v>
      </c>
      <c r="M37" s="13" t="n">
        <v>512</v>
      </c>
      <c r="N37" s="13" t="n">
        <v>0</v>
      </c>
      <c r="O37" s="3">
        <f>C37*D37/1024</f>
        <v/>
      </c>
      <c r="P37" s="3" t="n">
        <v>0</v>
      </c>
      <c r="Q37" s="3" t="n">
        <v>0</v>
      </c>
      <c r="R37" s="3">
        <f>L37*M37/1024</f>
        <v/>
      </c>
      <c r="S37" s="3">
        <f>C37*D37/128</f>
        <v/>
      </c>
      <c r="T37" s="3">
        <f>(S37/$Y$2)/1000</f>
        <v/>
      </c>
      <c r="U37" s="26">
        <f>((O37*8*1024)/$T37)/1000</f>
        <v/>
      </c>
      <c r="V37" s="26">
        <f>((P37*8*1024)/$T37)/1000</f>
        <v/>
      </c>
      <c r="W37" s="26">
        <f>((Q37*8*1024)/$T37)/1000</f>
        <v/>
      </c>
      <c r="X37" s="26">
        <f>((R37*8*1024)/$T37)/1000</f>
        <v/>
      </c>
    </row>
    <row r="38">
      <c r="A38" s="7" t="inlineStr">
        <is>
          <t>merge MLP 2D-&gt;D</t>
        </is>
      </c>
      <c r="B38" s="7" t="inlineStr">
        <is>
          <t>multiply</t>
        </is>
      </c>
      <c r="C38" s="11" t="n">
        <v>256</v>
      </c>
      <c r="D38" s="11" t="n">
        <v>512</v>
      </c>
      <c r="E38" s="11" t="n">
        <v>0</v>
      </c>
      <c r="F38" s="2" t="n">
        <v>0</v>
      </c>
      <c r="G38" s="2" t="n">
        <v>512</v>
      </c>
      <c r="H38" s="2" t="n">
        <v>0</v>
      </c>
      <c r="I38" s="3" t="n">
        <v>0</v>
      </c>
      <c r="J38" s="3" t="n">
        <v>0</v>
      </c>
      <c r="K38" s="3" t="n">
        <v>0</v>
      </c>
      <c r="L38" s="13" t="n">
        <v>256</v>
      </c>
      <c r="M38" s="13" t="n">
        <v>512</v>
      </c>
      <c r="N38" s="13" t="n">
        <v>0</v>
      </c>
      <c r="O38" s="3">
        <f>C38*D38/1024</f>
        <v/>
      </c>
      <c r="P38" s="3" t="n">
        <v>0</v>
      </c>
      <c r="Q38" s="3" t="n">
        <v>0</v>
      </c>
      <c r="R38" s="3">
        <f>L38*M38/1024</f>
        <v/>
      </c>
      <c r="S38" s="3">
        <f>C38*D38*G38/128</f>
        <v/>
      </c>
      <c r="T38" s="3">
        <f>(S38/$Y$2)/1000</f>
        <v/>
      </c>
      <c r="U38" s="26">
        <f>((O38*8*1024)/$T38)/1000</f>
        <v/>
      </c>
      <c r="V38" s="26">
        <f>((P38*8*1024)/$T38)/1000</f>
        <v/>
      </c>
      <c r="W38" s="26">
        <f>((Q38*8*1024)/$T38)/1000</f>
        <v/>
      </c>
      <c r="X38" s="26">
        <f>((R38*8*1024)/$T38)/1000</f>
        <v/>
      </c>
    </row>
    <row r="39">
      <c r="A39" s="7" t="inlineStr">
        <is>
          <t>merge MLP 2D-&gt;D</t>
        </is>
      </c>
      <c r="B39" s="7" t="inlineStr">
        <is>
          <t>accumulate</t>
        </is>
      </c>
      <c r="C39" s="11" t="n">
        <v>256</v>
      </c>
      <c r="D39" s="11" t="n">
        <v>512</v>
      </c>
      <c r="E39" s="11" t="n">
        <v>0</v>
      </c>
      <c r="F39" s="2" t="n">
        <v>0</v>
      </c>
      <c r="G39" s="2" t="n">
        <v>512</v>
      </c>
      <c r="H39" s="2" t="n">
        <v>0</v>
      </c>
      <c r="I39" s="3" t="n">
        <v>0</v>
      </c>
      <c r="J39" s="3" t="n">
        <v>0</v>
      </c>
      <c r="K39" s="3" t="n">
        <v>0</v>
      </c>
      <c r="L39" s="13" t="n">
        <v>256</v>
      </c>
      <c r="M39" s="13" t="n">
        <v>512</v>
      </c>
      <c r="N39" s="13" t="n">
        <v>0</v>
      </c>
      <c r="O39" s="3">
        <f>C39*D39/1024</f>
        <v/>
      </c>
      <c r="P39" s="3" t="n">
        <v>0</v>
      </c>
      <c r="Q39" s="3" t="n">
        <v>0</v>
      </c>
      <c r="R39" s="3">
        <f>L39*M39/1024</f>
        <v/>
      </c>
      <c r="S39" s="3">
        <f>C39*D39*G39/128</f>
        <v/>
      </c>
      <c r="T39" s="3">
        <f>(S39/$Y$2)/1000</f>
        <v/>
      </c>
      <c r="U39" s="26">
        <f>((O39*8*1024)/$T39)/1000</f>
        <v/>
      </c>
      <c r="V39" s="26">
        <f>((P39*8*1024)/$T39)/1000</f>
        <v/>
      </c>
      <c r="W39" s="26">
        <f>((Q39*8*1024)/$T39)/1000</f>
        <v/>
      </c>
      <c r="X39" s="26">
        <f>((R39*8*1024)/$T39)/1000</f>
        <v/>
      </c>
    </row>
    <row r="40">
      <c r="A40" s="7" t="inlineStr">
        <is>
          <t>Residual x+=mlp</t>
        </is>
      </c>
      <c r="B40" s="7" t="inlineStr">
        <is>
          <t>add</t>
        </is>
      </c>
      <c r="C40" s="11" t="n">
        <v>256</v>
      </c>
      <c r="D40" s="11" t="n">
        <v>512</v>
      </c>
      <c r="E40" s="11" t="n">
        <v>0</v>
      </c>
      <c r="F40" s="2" t="n">
        <v>0</v>
      </c>
      <c r="G40" s="2" t="n">
        <v>0</v>
      </c>
      <c r="H40" s="2" t="n">
        <v>0</v>
      </c>
      <c r="I40" s="3" t="n">
        <v>0</v>
      </c>
      <c r="J40" s="3" t="n">
        <v>0</v>
      </c>
      <c r="K40" s="3" t="n">
        <v>0</v>
      </c>
      <c r="L40" s="13" t="n">
        <v>256</v>
      </c>
      <c r="M40" s="13" t="n">
        <v>512</v>
      </c>
      <c r="N40" s="13" t="n">
        <v>0</v>
      </c>
      <c r="O40" s="3">
        <f>C40*D40/1024</f>
        <v/>
      </c>
      <c r="P40" s="3" t="n">
        <v>0</v>
      </c>
      <c r="Q40" s="3" t="n">
        <v>0</v>
      </c>
      <c r="R40" s="3">
        <f>L40*M40/1024</f>
        <v/>
      </c>
      <c r="S40" s="3">
        <f>C40*D40/128</f>
        <v/>
      </c>
      <c r="T40" s="3">
        <f>(S40/$Y$2)/1000</f>
        <v/>
      </c>
      <c r="U40" s="26">
        <f>((O40*8*1024)/$T40)/1000</f>
        <v/>
      </c>
      <c r="V40" s="26">
        <f>((P40*8*1024)/$T40)/1000</f>
        <v/>
      </c>
      <c r="W40" s="26">
        <f>((Q40*8*1024)/$T40)/1000</f>
        <v/>
      </c>
      <c r="X40" s="26">
        <f>((R40*8*1024)/$T40)/1000</f>
        <v/>
      </c>
      <c r="Y40" s="17" t="inlineStr">
        <is>
          <t>GNN total [us] -&gt;</t>
        </is>
      </c>
      <c r="Z40" s="17">
        <f>36*(SUM(T12:T40)+3*(SUM(T21:T30)))</f>
        <v/>
      </c>
    </row>
    <row r="41">
      <c r="A41" s="7" t="inlineStr">
        <is>
          <t>final proj D-&gt;D</t>
        </is>
      </c>
      <c r="B41" s="7" t="inlineStr">
        <is>
          <t>multiply</t>
        </is>
      </c>
      <c r="C41" s="11" t="n">
        <v>256</v>
      </c>
      <c r="D41" s="11" t="n">
        <v>512</v>
      </c>
      <c r="E41" s="11" t="n">
        <v>0</v>
      </c>
      <c r="F41" s="2" t="n">
        <v>0</v>
      </c>
      <c r="G41" s="2" t="n">
        <v>256</v>
      </c>
      <c r="H41" s="2" t="n">
        <v>0</v>
      </c>
      <c r="I41" s="3" t="n">
        <v>0</v>
      </c>
      <c r="J41" s="3" t="n">
        <v>0</v>
      </c>
      <c r="K41" s="3" t="n">
        <v>0</v>
      </c>
      <c r="L41" s="13" t="n">
        <v>256</v>
      </c>
      <c r="M41" s="13" t="n">
        <v>512</v>
      </c>
      <c r="N41" s="13" t="n">
        <v>0</v>
      </c>
      <c r="O41" s="3">
        <f>C41*D41/1024</f>
        <v/>
      </c>
      <c r="P41" s="3" t="n">
        <v>0</v>
      </c>
      <c r="Q41" s="3" t="n">
        <v>0</v>
      </c>
      <c r="R41" s="3">
        <f>L41*M41/1024</f>
        <v/>
      </c>
      <c r="S41" s="3">
        <f>C41*D41*G41/128</f>
        <v/>
      </c>
      <c r="T41" s="3">
        <f>(S41/$Y$2)/1000</f>
        <v/>
      </c>
      <c r="U41" s="26">
        <f>((O41*8*1024)/$T41)/1000</f>
        <v/>
      </c>
      <c r="V41" s="26">
        <f>((P41*8*1024)/$T41)/1000</f>
        <v/>
      </c>
      <c r="W41" s="26">
        <f>((Q41*8*1024)/$T41)/1000</f>
        <v/>
      </c>
      <c r="X41" s="26">
        <f>((R41*8*1024)/$T41)/1000</f>
        <v/>
      </c>
    </row>
    <row r="42">
      <c r="A42" s="7" t="inlineStr">
        <is>
          <t>final proj D-&gt;D</t>
        </is>
      </c>
      <c r="B42" s="7" t="inlineStr">
        <is>
          <t>accumulate</t>
        </is>
      </c>
      <c r="C42" s="11" t="n">
        <v>256</v>
      </c>
      <c r="D42" s="11" t="n">
        <v>512</v>
      </c>
      <c r="E42" s="11" t="n">
        <v>0</v>
      </c>
      <c r="F42" s="2" t="n">
        <v>0</v>
      </c>
      <c r="G42" s="2" t="n">
        <v>256</v>
      </c>
      <c r="H42" s="2" t="n">
        <v>0</v>
      </c>
      <c r="I42" s="3" t="n">
        <v>0</v>
      </c>
      <c r="J42" s="3" t="n">
        <v>0</v>
      </c>
      <c r="K42" s="3" t="n">
        <v>0</v>
      </c>
      <c r="L42" s="13" t="n">
        <v>256</v>
      </c>
      <c r="M42" s="13" t="n">
        <v>512</v>
      </c>
      <c r="N42" s="13" t="n">
        <v>0</v>
      </c>
      <c r="O42" s="3">
        <f>C42*D42/1024</f>
        <v/>
      </c>
      <c r="P42" s="3" t="n">
        <v>0</v>
      </c>
      <c r="Q42" s="3" t="n">
        <v>0</v>
      </c>
      <c r="R42" s="3">
        <f>L42*M42/1024</f>
        <v/>
      </c>
      <c r="S42" s="3">
        <f>C42*D42*G42/128</f>
        <v/>
      </c>
      <c r="T42" s="3">
        <f>(S42/$Y$2)/1000</f>
        <v/>
      </c>
      <c r="U42" s="26">
        <f>((O42*8*1024)/$T42)/1000</f>
        <v/>
      </c>
      <c r="V42" s="26">
        <f>((P42*8*1024)/$T42)/1000</f>
        <v/>
      </c>
      <c r="W42" s="26">
        <f>((Q42*8*1024)/$T42)/1000</f>
        <v/>
      </c>
      <c r="X42" s="26">
        <f>((R42*8*1024)/$T42)/1000</f>
        <v/>
      </c>
    </row>
    <row r="43">
      <c r="A43" s="7" t="inlineStr">
        <is>
          <t>score = A^T B</t>
        </is>
      </c>
      <c r="B43" s="7" t="inlineStr">
        <is>
          <t>multiply</t>
        </is>
      </c>
      <c r="C43" s="11" t="n">
        <v>512</v>
      </c>
      <c r="D43" s="11" t="n">
        <v>512</v>
      </c>
      <c r="E43" s="11" t="n">
        <v>0</v>
      </c>
      <c r="F43" s="2" t="n">
        <v>0</v>
      </c>
      <c r="G43" s="2" t="n">
        <v>256</v>
      </c>
      <c r="H43" s="2" t="n">
        <v>0</v>
      </c>
      <c r="I43" s="3" t="n">
        <v>0</v>
      </c>
      <c r="J43" s="3" t="n">
        <v>0</v>
      </c>
      <c r="K43" s="3" t="n">
        <v>0</v>
      </c>
      <c r="L43" s="13" t="n">
        <v>512</v>
      </c>
      <c r="M43" s="13" t="n">
        <v>512</v>
      </c>
      <c r="N43" s="13" t="n">
        <v>0</v>
      </c>
      <c r="O43" s="3">
        <f>C43*D43/1024</f>
        <v/>
      </c>
      <c r="P43" s="3" t="n">
        <v>0</v>
      </c>
      <c r="Q43" s="3" t="n">
        <v>0</v>
      </c>
      <c r="R43" s="3">
        <f>L43*M43/1024</f>
        <v/>
      </c>
      <c r="S43" s="3">
        <f>C43*D43*G43/128</f>
        <v/>
      </c>
      <c r="T43" s="3">
        <f>(S43/$Y$2)/1000</f>
        <v/>
      </c>
      <c r="U43" s="26">
        <f>((O43*8*1024)/$T43)/1000</f>
        <v/>
      </c>
      <c r="V43" s="26">
        <f>((P43*8*1024)/$T43)/1000</f>
        <v/>
      </c>
      <c r="W43" s="26">
        <f>((Q43*8*1024)/$T43)/1000</f>
        <v/>
      </c>
      <c r="X43" s="26">
        <f>((R43*8*1024)/$T43)/1000</f>
        <v/>
      </c>
    </row>
    <row r="44">
      <c r="A44" s="7" t="inlineStr">
        <is>
          <t>score = A^T B</t>
        </is>
      </c>
      <c r="B44" s="7" t="inlineStr">
        <is>
          <t>accumulate</t>
        </is>
      </c>
      <c r="C44" s="11" t="n">
        <v>512</v>
      </c>
      <c r="D44" s="11" t="n">
        <v>512</v>
      </c>
      <c r="E44" s="11" t="n">
        <v>0</v>
      </c>
      <c r="F44" s="2" t="n">
        <v>0</v>
      </c>
      <c r="G44" s="2" t="n">
        <v>256</v>
      </c>
      <c r="H44" s="2" t="n">
        <v>0</v>
      </c>
      <c r="I44" s="3" t="n">
        <v>0</v>
      </c>
      <c r="J44" s="3" t="n">
        <v>0</v>
      </c>
      <c r="K44" s="3" t="n">
        <v>0</v>
      </c>
      <c r="L44" s="13" t="n">
        <v>512</v>
      </c>
      <c r="M44" s="13" t="n">
        <v>512</v>
      </c>
      <c r="N44" s="13" t="n">
        <v>0</v>
      </c>
      <c r="O44" s="3">
        <f>C44*D44/1024</f>
        <v/>
      </c>
      <c r="P44" s="3" t="n">
        <v>0</v>
      </c>
      <c r="Q44" s="3" t="n">
        <v>0</v>
      </c>
      <c r="R44" s="3">
        <f>L44*M44/1024</f>
        <v/>
      </c>
      <c r="S44" s="3">
        <f>C44*D44*G44/128</f>
        <v/>
      </c>
      <c r="T44" s="3">
        <f>(S44/$Y$2)/1000</f>
        <v/>
      </c>
      <c r="U44" s="26">
        <f>((O44*8*1024)/$T44)/1000</f>
        <v/>
      </c>
      <c r="V44" s="26">
        <f>((P44*8*1024)/$T44)/1000</f>
        <v/>
      </c>
      <c r="W44" s="26">
        <f>((Q44*8*1024)/$T44)/1000</f>
        <v/>
      </c>
      <c r="X44" s="26">
        <f>((R44*8*1024)/$T44)/1000</f>
        <v/>
      </c>
    </row>
    <row r="45">
      <c r="A45" s="7" t="inlineStr">
        <is>
          <t>scale 1/sqrt(d)</t>
        </is>
      </c>
      <c r="B45" s="7" t="inlineStr">
        <is>
          <t>multiply</t>
        </is>
      </c>
      <c r="C45" s="11" t="n">
        <v>512</v>
      </c>
      <c r="D45" s="11" t="n">
        <v>512</v>
      </c>
      <c r="E45" s="11" t="n">
        <v>0</v>
      </c>
      <c r="F45" s="2" t="n">
        <v>0</v>
      </c>
      <c r="G45" s="2" t="n">
        <v>0</v>
      </c>
      <c r="H45" s="2" t="n">
        <v>0</v>
      </c>
      <c r="I45" s="3" t="n">
        <v>0</v>
      </c>
      <c r="J45" s="3" t="n">
        <v>0</v>
      </c>
      <c r="K45" s="3" t="n">
        <v>0</v>
      </c>
      <c r="L45" s="13" t="n">
        <v>512</v>
      </c>
      <c r="M45" s="13" t="n">
        <v>512</v>
      </c>
      <c r="N45" s="13" t="n">
        <v>0</v>
      </c>
      <c r="O45" s="3">
        <f>C45*D45/1024</f>
        <v/>
      </c>
      <c r="P45" s="3" t="n">
        <v>0</v>
      </c>
      <c r="Q45" s="3" t="n">
        <v>0</v>
      </c>
      <c r="R45" s="3">
        <f>L45*M45/1024</f>
        <v/>
      </c>
      <c r="S45" s="3">
        <f>C45*D45/128</f>
        <v/>
      </c>
      <c r="T45" s="3">
        <f>(S45/$Y$2)/1000</f>
        <v/>
      </c>
      <c r="U45" s="26">
        <f>((O45*8*1024)/$T45)/1000</f>
        <v/>
      </c>
      <c r="V45" s="26">
        <f>((P45*8*1024)/$T45)/1000</f>
        <v/>
      </c>
      <c r="W45" s="26">
        <f>((Q45*8*1024)/$T45)/1000</f>
        <v/>
      </c>
      <c r="X45" s="26">
        <f>((R45*8*1024)/$T45)/1000</f>
        <v/>
      </c>
    </row>
    <row r="46">
      <c r="A46" s="7" t="inlineStr">
        <is>
          <t>dustbin augment</t>
        </is>
      </c>
      <c r="B46" s="7" t="inlineStr">
        <is>
          <t>reshape</t>
        </is>
      </c>
      <c r="C46" s="11" t="n">
        <v>513</v>
      </c>
      <c r="D46" s="11" t="n">
        <v>513</v>
      </c>
      <c r="E46" s="11" t="n">
        <v>0</v>
      </c>
      <c r="F46" s="2" t="n">
        <v>0</v>
      </c>
      <c r="G46" s="2" t="n">
        <v>0</v>
      </c>
      <c r="H46" s="2" t="n">
        <v>0</v>
      </c>
      <c r="I46" s="3" t="n">
        <v>0</v>
      </c>
      <c r="J46" s="3" t="n">
        <v>0</v>
      </c>
      <c r="K46" s="3" t="n">
        <v>0</v>
      </c>
      <c r="L46" s="13" t="n">
        <v>513</v>
      </c>
      <c r="M46" s="13" t="n">
        <v>513</v>
      </c>
      <c r="N46" s="13" t="n">
        <v>0</v>
      </c>
      <c r="O46" s="3">
        <f>C46*D46/1024</f>
        <v/>
      </c>
      <c r="P46" s="3" t="n">
        <v>0</v>
      </c>
      <c r="Q46" s="3" t="n">
        <v>0</v>
      </c>
      <c r="R46" s="3">
        <f>L46*M46/1024</f>
        <v/>
      </c>
      <c r="S46" s="3" t="inlineStr">
        <is>
          <t>0</t>
        </is>
      </c>
      <c r="T46" s="3" t="n">
        <v>0</v>
      </c>
      <c r="U46" s="26" t="n">
        <v>0</v>
      </c>
      <c r="V46" s="26" t="n">
        <v>0</v>
      </c>
      <c r="W46" s="26" t="n">
        <v>0</v>
      </c>
      <c r="X46" s="26" t="n">
        <v>0</v>
      </c>
    </row>
    <row r="47">
      <c r="A47" s="7" t="inlineStr">
        <is>
          <t>Sinkhorn row norm</t>
        </is>
      </c>
      <c r="B47" s="7" t="inlineStr">
        <is>
          <t>max</t>
        </is>
      </c>
      <c r="C47" s="11" t="n">
        <v>513</v>
      </c>
      <c r="D47" s="11" t="n">
        <v>513</v>
      </c>
      <c r="E47" s="11" t="n">
        <v>0</v>
      </c>
      <c r="F47" s="2" t="n">
        <v>0</v>
      </c>
      <c r="G47" s="2" t="n">
        <v>0</v>
      </c>
      <c r="H47" s="2" t="n">
        <v>0</v>
      </c>
      <c r="I47" s="3" t="n">
        <v>0</v>
      </c>
      <c r="J47" s="3" t="n">
        <v>0</v>
      </c>
      <c r="K47" s="3" t="n">
        <v>0</v>
      </c>
      <c r="L47" s="13" t="n">
        <v>513</v>
      </c>
      <c r="M47" s="13" t="n">
        <v>513</v>
      </c>
      <c r="N47" s="13" t="n">
        <v>0</v>
      </c>
      <c r="O47" s="3">
        <f>C47*D47/1024</f>
        <v/>
      </c>
      <c r="P47" s="3" t="n">
        <v>0</v>
      </c>
      <c r="Q47" s="3" t="n">
        <v>0</v>
      </c>
      <c r="R47" s="3">
        <f>L47*M47/1024</f>
        <v/>
      </c>
      <c r="S47" s="3">
        <f>C47*D47/128</f>
        <v/>
      </c>
      <c r="T47" s="3">
        <f>(S47/$Y$2)/1000</f>
        <v/>
      </c>
      <c r="U47" s="26">
        <f>((O47*8*1024)/$T47)/1000</f>
        <v/>
      </c>
      <c r="V47" s="26">
        <f>((P47*8*1024)/$T47)/1000</f>
        <v/>
      </c>
      <c r="W47" s="26">
        <f>((Q47*8*1024)/$T47)/1000</f>
        <v/>
      </c>
      <c r="X47" s="26">
        <f>((R47*8*1024)/$T47)/1000</f>
        <v/>
      </c>
    </row>
    <row r="48">
      <c r="A48" s="7" t="inlineStr">
        <is>
          <t>Sinkhorn row norm</t>
        </is>
      </c>
      <c r="B48" s="7" t="inlineStr">
        <is>
          <t>exp2</t>
        </is>
      </c>
      <c r="C48" s="11" t="n">
        <v>513</v>
      </c>
      <c r="D48" s="11" t="n">
        <v>513</v>
      </c>
      <c r="E48" s="11" t="n">
        <v>0</v>
      </c>
      <c r="F48" s="2" t="n">
        <v>0</v>
      </c>
      <c r="G48" s="2" t="n">
        <v>0</v>
      </c>
      <c r="H48" s="2" t="n">
        <v>0</v>
      </c>
      <c r="I48" s="3" t="n">
        <v>0</v>
      </c>
      <c r="J48" s="3" t="n">
        <v>0</v>
      </c>
      <c r="K48" s="3" t="n">
        <v>0</v>
      </c>
      <c r="L48" s="13" t="n">
        <v>513</v>
      </c>
      <c r="M48" s="13" t="n">
        <v>513</v>
      </c>
      <c r="N48" s="13" t="n">
        <v>0</v>
      </c>
      <c r="O48" s="3">
        <f>C48*D48/1024</f>
        <v/>
      </c>
      <c r="P48" s="3" t="n">
        <v>0</v>
      </c>
      <c r="Q48" s="3" t="n">
        <v>0</v>
      </c>
      <c r="R48" s="3">
        <f>L48*M48/1024</f>
        <v/>
      </c>
      <c r="S48" s="3">
        <f>C48*D48/128</f>
        <v/>
      </c>
      <c r="T48" s="3">
        <f>(S48/$Y$2)/1000</f>
        <v/>
      </c>
      <c r="U48" s="26">
        <f>((O48*8*1024)/$T48)/1000</f>
        <v/>
      </c>
      <c r="V48" s="26">
        <f>((P48*8*1024)/$T48)/1000</f>
        <v/>
      </c>
      <c r="W48" s="26">
        <f>((Q48*8*1024)/$T48)/1000</f>
        <v/>
      </c>
      <c r="X48" s="26">
        <f>((R48*8*1024)/$T48)/1000</f>
        <v/>
      </c>
    </row>
    <row r="49">
      <c r="A49" s="7" t="inlineStr">
        <is>
          <t>Sinkhorn row norm</t>
        </is>
      </c>
      <c r="B49" s="7" t="inlineStr">
        <is>
          <t>sum</t>
        </is>
      </c>
      <c r="C49" s="11" t="n">
        <v>513</v>
      </c>
      <c r="D49" s="11" t="n">
        <v>513</v>
      </c>
      <c r="E49" s="11" t="n">
        <v>0</v>
      </c>
      <c r="F49" s="2" t="n">
        <v>0</v>
      </c>
      <c r="G49" s="2" t="n">
        <v>0</v>
      </c>
      <c r="H49" s="2" t="n">
        <v>0</v>
      </c>
      <c r="I49" s="3" t="n">
        <v>0</v>
      </c>
      <c r="J49" s="3" t="n">
        <v>0</v>
      </c>
      <c r="K49" s="3" t="n">
        <v>0</v>
      </c>
      <c r="L49" s="13" t="n">
        <v>513</v>
      </c>
      <c r="M49" s="13" t="n">
        <v>513</v>
      </c>
      <c r="N49" s="13" t="n">
        <v>0</v>
      </c>
      <c r="O49" s="3">
        <f>C49*D49/1024</f>
        <v/>
      </c>
      <c r="P49" s="3" t="n">
        <v>0</v>
      </c>
      <c r="Q49" s="3" t="n">
        <v>0</v>
      </c>
      <c r="R49" s="3">
        <f>L49*M49/1024</f>
        <v/>
      </c>
      <c r="S49" s="3">
        <f>C49*D49/128</f>
        <v/>
      </c>
      <c r="T49" s="3">
        <f>(S49/$Y$2)/1000</f>
        <v/>
      </c>
      <c r="U49" s="26">
        <f>((O49*8*1024)/$T49)/1000</f>
        <v/>
      </c>
      <c r="V49" s="26">
        <f>((P49*8*1024)/$T49)/1000</f>
        <v/>
      </c>
      <c r="W49" s="26">
        <f>((Q49*8*1024)/$T49)/1000</f>
        <v/>
      </c>
      <c r="X49" s="26">
        <f>((R49*8*1024)/$T49)/1000</f>
        <v/>
      </c>
    </row>
    <row r="50">
      <c r="A50" s="7" t="inlineStr">
        <is>
          <t>Sinkhorn row norm</t>
        </is>
      </c>
      <c r="B50" s="7" t="inlineStr">
        <is>
          <t>log</t>
        </is>
      </c>
      <c r="C50" s="11" t="n">
        <v>513</v>
      </c>
      <c r="D50" s="11" t="n">
        <v>513</v>
      </c>
      <c r="E50" s="11" t="n">
        <v>0</v>
      </c>
      <c r="F50" s="2" t="n">
        <v>0</v>
      </c>
      <c r="G50" s="2" t="n">
        <v>0</v>
      </c>
      <c r="H50" s="2" t="n">
        <v>0</v>
      </c>
      <c r="I50" s="3" t="n">
        <v>0</v>
      </c>
      <c r="J50" s="3" t="n">
        <v>0</v>
      </c>
      <c r="K50" s="3" t="n">
        <v>0</v>
      </c>
      <c r="L50" s="13" t="n">
        <v>513</v>
      </c>
      <c r="M50" s="13" t="n">
        <v>513</v>
      </c>
      <c r="N50" s="13" t="n">
        <v>0</v>
      </c>
      <c r="O50" s="3">
        <f>C50*D50/1024</f>
        <v/>
      </c>
      <c r="P50" s="3" t="n">
        <v>0</v>
      </c>
      <c r="Q50" s="3" t="n">
        <v>0</v>
      </c>
      <c r="R50" s="3">
        <f>L50*M50/1024</f>
        <v/>
      </c>
      <c r="S50" s="3">
        <f>C50*D50/128</f>
        <v/>
      </c>
      <c r="T50" s="3">
        <f>(S50/$Y$2)/1000</f>
        <v/>
      </c>
      <c r="U50" s="26">
        <f>((O50*8*1024)/$T50)/1000</f>
        <v/>
      </c>
      <c r="V50" s="26">
        <f>((P50*8*1024)/$T50)/1000</f>
        <v/>
      </c>
      <c r="W50" s="26">
        <f>((Q50*8*1024)/$T50)/1000</f>
        <v/>
      </c>
      <c r="X50" s="26">
        <f>((R50*8*1024)/$T50)/1000</f>
        <v/>
      </c>
    </row>
    <row r="51">
      <c r="A51" s="7" t="inlineStr">
        <is>
          <t>Sinkhorn row norm</t>
        </is>
      </c>
      <c r="B51" s="7" t="inlineStr">
        <is>
          <t>subtract</t>
        </is>
      </c>
      <c r="C51" s="11" t="n">
        <v>513</v>
      </c>
      <c r="D51" s="11" t="n">
        <v>513</v>
      </c>
      <c r="E51" s="11" t="n">
        <v>0</v>
      </c>
      <c r="F51" s="2" t="n">
        <v>0</v>
      </c>
      <c r="G51" s="2" t="n">
        <v>0</v>
      </c>
      <c r="H51" s="2" t="n">
        <v>0</v>
      </c>
      <c r="I51" s="3" t="n">
        <v>0</v>
      </c>
      <c r="J51" s="3" t="n">
        <v>0</v>
      </c>
      <c r="K51" s="3" t="n">
        <v>0</v>
      </c>
      <c r="L51" s="13" t="n">
        <v>513</v>
      </c>
      <c r="M51" s="13" t="n">
        <v>513</v>
      </c>
      <c r="N51" s="13" t="n">
        <v>0</v>
      </c>
      <c r="O51" s="3">
        <f>C51*D51/1024</f>
        <v/>
      </c>
      <c r="P51" s="3" t="n">
        <v>0</v>
      </c>
      <c r="Q51" s="3" t="n">
        <v>0</v>
      </c>
      <c r="R51" s="3">
        <f>L51*M51/1024</f>
        <v/>
      </c>
      <c r="S51" s="3">
        <f>C51*D51/128</f>
        <v/>
      </c>
      <c r="T51" s="3">
        <f>(S51/$Y$2)/1000</f>
        <v/>
      </c>
      <c r="U51" s="26">
        <f>((O51*8*1024)/$T51)/1000</f>
        <v/>
      </c>
      <c r="V51" s="26">
        <f>((P51*8*1024)/$T51)/1000</f>
        <v/>
      </c>
      <c r="W51" s="26">
        <f>((Q51*8*1024)/$T51)/1000</f>
        <v/>
      </c>
      <c r="X51" s="26">
        <f>((R51*8*1024)/$T51)/1000</f>
        <v/>
      </c>
    </row>
    <row r="52">
      <c r="A52" s="7" t="inlineStr">
        <is>
          <t>Sinkhorn col transpose</t>
        </is>
      </c>
      <c r="B52" s="7" t="inlineStr">
        <is>
          <t>move</t>
        </is>
      </c>
      <c r="C52" s="11" t="n">
        <v>513</v>
      </c>
      <c r="D52" s="11" t="n">
        <v>513</v>
      </c>
      <c r="E52" s="11" t="n">
        <v>0</v>
      </c>
      <c r="F52" s="2" t="n">
        <v>0</v>
      </c>
      <c r="G52" s="2" t="n">
        <v>0</v>
      </c>
      <c r="H52" s="2" t="n">
        <v>0</v>
      </c>
      <c r="I52" s="3" t="n">
        <v>0</v>
      </c>
      <c r="J52" s="3" t="n">
        <v>0</v>
      </c>
      <c r="K52" s="3" t="n">
        <v>0</v>
      </c>
      <c r="L52" s="13" t="n">
        <v>513</v>
      </c>
      <c r="M52" s="13" t="n">
        <v>513</v>
      </c>
      <c r="N52" s="13" t="n">
        <v>0</v>
      </c>
      <c r="O52" s="3">
        <f>C52*D52/1024</f>
        <v/>
      </c>
      <c r="P52" s="3" t="n">
        <v>0</v>
      </c>
      <c r="Q52" s="3" t="n">
        <v>0</v>
      </c>
      <c r="R52" s="3">
        <f>L52*M52/1024</f>
        <v/>
      </c>
      <c r="S52" s="3">
        <f>C52*D52/128</f>
        <v/>
      </c>
      <c r="T52" s="3">
        <f>(S52/$Y$2)/1000</f>
        <v/>
      </c>
      <c r="U52" s="26">
        <f>((O52*8*1024)/$T52)/1000</f>
        <v/>
      </c>
      <c r="V52" s="26">
        <f>((P52*8*1024)/$T52)/1000</f>
        <v/>
      </c>
      <c r="W52" s="26">
        <f>((Q52*8*1024)/$T52)/1000</f>
        <v/>
      </c>
      <c r="X52" s="26">
        <f>((R52*8*1024)/$T52)/1000</f>
        <v/>
      </c>
    </row>
    <row r="53">
      <c r="A53" s="7" t="inlineStr">
        <is>
          <t>Sinkhorn col norm</t>
        </is>
      </c>
      <c r="B53" s="7" t="inlineStr">
        <is>
          <t>max</t>
        </is>
      </c>
      <c r="C53" s="11" t="n">
        <v>513</v>
      </c>
      <c r="D53" s="11" t="n">
        <v>513</v>
      </c>
      <c r="E53" s="11" t="n">
        <v>0</v>
      </c>
      <c r="F53" s="2" t="n">
        <v>0</v>
      </c>
      <c r="G53" s="2" t="n">
        <v>0</v>
      </c>
      <c r="H53" s="2" t="n">
        <v>0</v>
      </c>
      <c r="I53" s="3" t="n">
        <v>0</v>
      </c>
      <c r="J53" s="3" t="n">
        <v>0</v>
      </c>
      <c r="K53" s="3" t="n">
        <v>0</v>
      </c>
      <c r="L53" s="13" t="n">
        <v>513</v>
      </c>
      <c r="M53" s="13" t="n">
        <v>513</v>
      </c>
      <c r="N53" s="13" t="n">
        <v>0</v>
      </c>
      <c r="O53" s="3">
        <f>C53*D53/1024</f>
        <v/>
      </c>
      <c r="P53" s="3" t="n">
        <v>0</v>
      </c>
      <c r="Q53" s="3" t="n">
        <v>0</v>
      </c>
      <c r="R53" s="3">
        <f>L53*M53/1024</f>
        <v/>
      </c>
      <c r="S53" s="3">
        <f>C53*D53/128</f>
        <v/>
      </c>
      <c r="T53" s="3">
        <f>(S53/$Y$2)/1000</f>
        <v/>
      </c>
      <c r="U53" s="26">
        <f>((O53*8*1024)/$T53)/1000</f>
        <v/>
      </c>
      <c r="V53" s="26">
        <f>((P53*8*1024)/$T53)/1000</f>
        <v/>
      </c>
      <c r="W53" s="26">
        <f>((Q53*8*1024)/$T53)/1000</f>
        <v/>
      </c>
      <c r="X53" s="26">
        <f>((R53*8*1024)/$T53)/1000</f>
        <v/>
      </c>
    </row>
    <row r="54">
      <c r="A54" s="7" t="inlineStr">
        <is>
          <t>Sinkhorn col norm</t>
        </is>
      </c>
      <c r="B54" s="7" t="inlineStr">
        <is>
          <t>exp2</t>
        </is>
      </c>
      <c r="C54" s="11" t="n">
        <v>513</v>
      </c>
      <c r="D54" s="11" t="n">
        <v>513</v>
      </c>
      <c r="E54" s="11" t="n">
        <v>0</v>
      </c>
      <c r="F54" s="2" t="n">
        <v>0</v>
      </c>
      <c r="G54" s="2" t="n">
        <v>0</v>
      </c>
      <c r="H54" s="2" t="n">
        <v>0</v>
      </c>
      <c r="I54" s="3" t="n">
        <v>0</v>
      </c>
      <c r="J54" s="3" t="n">
        <v>0</v>
      </c>
      <c r="K54" s="3" t="n">
        <v>0</v>
      </c>
      <c r="L54" s="13" t="n">
        <v>513</v>
      </c>
      <c r="M54" s="13" t="n">
        <v>513</v>
      </c>
      <c r="N54" s="13" t="n">
        <v>0</v>
      </c>
      <c r="O54" s="3">
        <f>C54*D54/1024</f>
        <v/>
      </c>
      <c r="P54" s="3" t="n">
        <v>0</v>
      </c>
      <c r="Q54" s="3" t="n">
        <v>0</v>
      </c>
      <c r="R54" s="3">
        <f>L54*M54/1024</f>
        <v/>
      </c>
      <c r="S54" s="3">
        <f>C54*D54/128</f>
        <v/>
      </c>
      <c r="T54" s="3">
        <f>(S54/$Y$2)/1000</f>
        <v/>
      </c>
      <c r="U54" s="26">
        <f>((O54*8*1024)/$T54)/1000</f>
        <v/>
      </c>
      <c r="V54" s="26">
        <f>((P54*8*1024)/$T54)/1000</f>
        <v/>
      </c>
      <c r="W54" s="26">
        <f>((Q54*8*1024)/$T54)/1000</f>
        <v/>
      </c>
      <c r="X54" s="26">
        <f>((R54*8*1024)/$T54)/1000</f>
        <v/>
      </c>
    </row>
    <row r="55">
      <c r="A55" s="7" t="inlineStr">
        <is>
          <t>Sinkhorn col norm</t>
        </is>
      </c>
      <c r="B55" s="7" t="inlineStr">
        <is>
          <t>sum</t>
        </is>
      </c>
      <c r="C55" s="11" t="n">
        <v>513</v>
      </c>
      <c r="D55" s="11" t="n">
        <v>513</v>
      </c>
      <c r="E55" s="11" t="n">
        <v>0</v>
      </c>
      <c r="F55" s="2" t="n">
        <v>0</v>
      </c>
      <c r="G55" s="2" t="n">
        <v>0</v>
      </c>
      <c r="H55" s="2" t="n">
        <v>0</v>
      </c>
      <c r="I55" s="3" t="n">
        <v>0</v>
      </c>
      <c r="J55" s="3" t="n">
        <v>0</v>
      </c>
      <c r="K55" s="3" t="n">
        <v>0</v>
      </c>
      <c r="L55" s="13" t="n">
        <v>513</v>
      </c>
      <c r="M55" s="13" t="n">
        <v>513</v>
      </c>
      <c r="N55" s="13" t="n">
        <v>0</v>
      </c>
      <c r="O55" s="3">
        <f>C55*D55/1024</f>
        <v/>
      </c>
      <c r="P55" s="3" t="n">
        <v>0</v>
      </c>
      <c r="Q55" s="3" t="n">
        <v>0</v>
      </c>
      <c r="R55" s="3">
        <f>L55*M55/1024</f>
        <v/>
      </c>
      <c r="S55" s="3">
        <f>C55*D55/128</f>
        <v/>
      </c>
      <c r="T55" s="3">
        <f>(S55/$Y$2)/1000</f>
        <v/>
      </c>
      <c r="U55" s="26">
        <f>((O55*8*1024)/$T55)/1000</f>
        <v/>
      </c>
      <c r="V55" s="26">
        <f>((P55*8*1024)/$T55)/1000</f>
        <v/>
      </c>
      <c r="W55" s="26">
        <f>((Q55*8*1024)/$T55)/1000</f>
        <v/>
      </c>
      <c r="X55" s="26">
        <f>((R55*8*1024)/$T55)/1000</f>
        <v/>
      </c>
    </row>
    <row r="56">
      <c r="A56" s="7" t="inlineStr">
        <is>
          <t>Sinkhorn col norm</t>
        </is>
      </c>
      <c r="B56" s="7" t="inlineStr">
        <is>
          <t>log</t>
        </is>
      </c>
      <c r="C56" s="11" t="n">
        <v>513</v>
      </c>
      <c r="D56" s="11" t="n">
        <v>513</v>
      </c>
      <c r="E56" s="11" t="n">
        <v>0</v>
      </c>
      <c r="F56" s="2" t="n">
        <v>0</v>
      </c>
      <c r="G56" s="2" t="n">
        <v>0</v>
      </c>
      <c r="H56" s="2" t="n">
        <v>0</v>
      </c>
      <c r="I56" s="3" t="n">
        <v>0</v>
      </c>
      <c r="J56" s="3" t="n">
        <v>0</v>
      </c>
      <c r="K56" s="3" t="n">
        <v>0</v>
      </c>
      <c r="L56" s="13" t="n">
        <v>513</v>
      </c>
      <c r="M56" s="13" t="n">
        <v>513</v>
      </c>
      <c r="N56" s="13" t="n">
        <v>0</v>
      </c>
      <c r="O56" s="3">
        <f>C56*D56/1024</f>
        <v/>
      </c>
      <c r="P56" s="3" t="n">
        <v>0</v>
      </c>
      <c r="Q56" s="3" t="n">
        <v>0</v>
      </c>
      <c r="R56" s="3">
        <f>L56*M56/1024</f>
        <v/>
      </c>
      <c r="S56" s="3">
        <f>C56*D56/128</f>
        <v/>
      </c>
      <c r="T56" s="3">
        <f>(S56/$Y$2)/1000</f>
        <v/>
      </c>
      <c r="U56" s="26">
        <f>((O56*8*1024)/$T56)/1000</f>
        <v/>
      </c>
      <c r="V56" s="26">
        <f>((P56*8*1024)/$T56)/1000</f>
        <v/>
      </c>
      <c r="W56" s="26">
        <f>((Q56*8*1024)/$T56)/1000</f>
        <v/>
      </c>
      <c r="X56" s="26">
        <f>((R56*8*1024)/$T56)/1000</f>
        <v/>
      </c>
    </row>
    <row r="57">
      <c r="A57" s="7" t="inlineStr">
        <is>
          <t>Sinkhorn col norm</t>
        </is>
      </c>
      <c r="B57" s="7" t="inlineStr">
        <is>
          <t>subtract</t>
        </is>
      </c>
      <c r="C57" s="11" t="n">
        <v>513</v>
      </c>
      <c r="D57" s="11" t="n">
        <v>513</v>
      </c>
      <c r="E57" s="11" t="n">
        <v>0</v>
      </c>
      <c r="F57" s="2" t="n">
        <v>0</v>
      </c>
      <c r="G57" s="2" t="n">
        <v>0</v>
      </c>
      <c r="H57" s="2" t="n">
        <v>0</v>
      </c>
      <c r="I57" s="3" t="n">
        <v>0</v>
      </c>
      <c r="J57" s="3" t="n">
        <v>0</v>
      </c>
      <c r="K57" s="3" t="n">
        <v>0</v>
      </c>
      <c r="L57" s="13" t="n">
        <v>513</v>
      </c>
      <c r="M57" s="13" t="n">
        <v>513</v>
      </c>
      <c r="N57" s="13" t="n">
        <v>0</v>
      </c>
      <c r="O57" s="3">
        <f>C57*D57/1024</f>
        <v/>
      </c>
      <c r="P57" s="3" t="n">
        <v>0</v>
      </c>
      <c r="Q57" s="3" t="n">
        <v>0</v>
      </c>
      <c r="R57" s="3">
        <f>L57*M57/1024</f>
        <v/>
      </c>
      <c r="S57" s="3">
        <f>C57*D57/128</f>
        <v/>
      </c>
      <c r="T57" s="3">
        <f>(S57/$Y$2)/1000</f>
        <v/>
      </c>
      <c r="U57" s="26">
        <f>((O57*8*1024)/$T57)/1000</f>
        <v/>
      </c>
      <c r="V57" s="26">
        <f>((P57*8*1024)/$T57)/1000</f>
        <v/>
      </c>
      <c r="W57" s="26">
        <f>((Q57*8*1024)/$T57)/1000</f>
        <v/>
      </c>
      <c r="X57" s="26">
        <f>((R57*8*1024)/$T57)/1000</f>
        <v/>
      </c>
      <c r="Y57" s="17" t="inlineStr">
        <is>
          <t>Sinkhorn total (x100) [us] -&gt;</t>
        </is>
      </c>
      <c r="Z57" s="17">
        <f>100*(SUM(T47:T57))</f>
        <v/>
      </c>
    </row>
    <row r="58">
      <c r="A58" s="7" t="inlineStr">
        <is>
          <t>match readout</t>
        </is>
      </c>
      <c r="B58" s="7" t="inlineStr">
        <is>
          <t>max(argmax)</t>
        </is>
      </c>
      <c r="C58" s="11" t="n">
        <v>513</v>
      </c>
      <c r="D58" s="11" t="n">
        <v>513</v>
      </c>
      <c r="E58" s="11" t="n">
        <v>0</v>
      </c>
      <c r="F58" s="2" t="n">
        <v>0</v>
      </c>
      <c r="G58" s="2" t="n">
        <v>0</v>
      </c>
      <c r="H58" s="2" t="n">
        <v>0</v>
      </c>
      <c r="I58" s="3" t="n">
        <v>0</v>
      </c>
      <c r="J58" s="3" t="n">
        <v>0</v>
      </c>
      <c r="K58" s="3" t="n">
        <v>0</v>
      </c>
      <c r="L58" s="13" t="n">
        <v>513</v>
      </c>
      <c r="M58" s="13" t="n">
        <v>513</v>
      </c>
      <c r="N58" s="13" t="n">
        <v>0</v>
      </c>
      <c r="O58" s="3">
        <f>C58*D58/1024</f>
        <v/>
      </c>
      <c r="P58" s="3" t="n">
        <v>0</v>
      </c>
      <c r="Q58" s="3" t="n">
        <v>0</v>
      </c>
      <c r="R58" s="3">
        <f>L58*M58/1024</f>
        <v/>
      </c>
      <c r="S58" s="3">
        <f>C58*D58/128</f>
        <v/>
      </c>
      <c r="T58" s="3">
        <f>(S58/$Y$2)/1000</f>
        <v/>
      </c>
      <c r="U58" s="26">
        <f>((O58*8*1024)/$T58)/1000</f>
        <v/>
      </c>
      <c r="V58" s="26">
        <f>((P58*8*1024)/$T58)/1000</f>
        <v/>
      </c>
      <c r="W58" s="26">
        <f>((Q58*8*1024)/$T58)/1000</f>
        <v/>
      </c>
      <c r="X58" s="26">
        <f>((R58*8*1024)/$T58)/1000</f>
        <v/>
      </c>
    </row>
    <row r="59">
      <c r="A59" s="7" t="inlineStr">
        <is>
          <t>match readout</t>
        </is>
      </c>
      <c r="B59" s="7" t="inlineStr">
        <is>
          <t>compare(threshold)</t>
        </is>
      </c>
      <c r="C59" s="11" t="n">
        <v>513</v>
      </c>
      <c r="D59" s="11" t="n">
        <v>513</v>
      </c>
      <c r="E59" s="11" t="n">
        <v>0</v>
      </c>
      <c r="F59" s="2" t="n">
        <v>0</v>
      </c>
      <c r="G59" s="2" t="n">
        <v>0</v>
      </c>
      <c r="H59" s="2" t="n">
        <v>0</v>
      </c>
      <c r="I59" s="3" t="n">
        <v>0</v>
      </c>
      <c r="J59" s="3" t="n">
        <v>0</v>
      </c>
      <c r="K59" s="3" t="n">
        <v>0</v>
      </c>
      <c r="L59" s="13" t="n">
        <v>513</v>
      </c>
      <c r="M59" s="13" t="n">
        <v>513</v>
      </c>
      <c r="N59" s="13" t="n">
        <v>0</v>
      </c>
      <c r="O59" s="3">
        <f>C59*D59/1024</f>
        <v/>
      </c>
      <c r="P59" s="3" t="n">
        <v>0</v>
      </c>
      <c r="Q59" s="3" t="n">
        <v>0</v>
      </c>
      <c r="R59" s="3">
        <f>L59*M59/1024</f>
        <v/>
      </c>
      <c r="S59" s="3">
        <f>C59*D59/128</f>
        <v/>
      </c>
      <c r="T59" s="3">
        <f>(S59/$Y$2)/1000</f>
        <v/>
      </c>
      <c r="U59" s="26">
        <f>((O59*8*1024)/$T59)/1000</f>
        <v/>
      </c>
      <c r="V59" s="26">
        <f>((P59*8*1024)/$T59)/1000</f>
        <v/>
      </c>
      <c r="W59" s="26">
        <f>((Q59*8*1024)/$T59)/1000</f>
        <v/>
      </c>
      <c r="X59" s="26">
        <f>((R59*8*1024)/$T59)/1000</f>
        <v/>
      </c>
    </row>
    <row r="61">
      <c r="A61" s="7" t="inlineStr">
        <is>
          <t>GRAND TOTAL [us]</t>
        </is>
      </c>
      <c r="Y61" s="17" t="inlineStr">
        <is>
          <t>variant: fixed_thresh</t>
        </is>
      </c>
      <c r="Z61" s="17">
        <f>Z11+Z40+2*(SUM(T41:T42))+SUM(T43:T44)+T45+Z57+SUM(T58:T59)</f>
        <v/>
      </c>
    </row>
    <row r="62">
      <c r="A62" s="7" t="inlineStr">
        <is>
          <t>FPS (image pair)</t>
        </is>
      </c>
      <c r="Y62" s="17" t="inlineStr">
        <is>
          <t>frames / sec -&gt;</t>
        </is>
      </c>
      <c r="Z62" s="17">
        <f>1000000/Z61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.109375" customWidth="1" min="1" max="1"/>
    <col width="20.44140625" customWidth="1" min="2" max="2"/>
    <col width="4.109375" customWidth="1" min="3" max="3"/>
    <col width="13" customWidth="1" min="4" max="4"/>
    <col width="6.109375" customWidth="1" min="5" max="5"/>
    <col width="11.6640625" customWidth="1" min="6" max="6"/>
    <col width="5.44140625" customWidth="1" min="7" max="7"/>
    <col width="6.109375" customWidth="1" min="8" max="8"/>
    <col width="9.109375" customWidth="1" min="9" max="9"/>
    <col width="13" customWidth="1" min="10" max="10"/>
    <col width="13" customWidth="1" min="11" max="11"/>
    <col width="5.44140625" customWidth="1" min="12" max="12"/>
    <col width="13" customWidth="1" min="13" max="13"/>
    <col width="6.109375" customWidth="1" min="14" max="14"/>
    <col width="17.5546875" customWidth="1" min="15" max="15"/>
    <col width="13" customWidth="1" min="16" max="16"/>
    <col width="17.5546875" customWidth="1" min="17" max="17"/>
    <col width="17.77734375" customWidth="1" min="18" max="18"/>
    <col width="9.77734375" customWidth="1" min="19" max="19"/>
    <col width="11.21875" customWidth="1" min="20" max="20"/>
    <col width="10.88671875" customWidth="1" min="21" max="21"/>
    <col width="13" customWidth="1" min="22" max="22"/>
    <col width="10.5546875" customWidth="1" min="23" max="23"/>
    <col width="12.77734375" customWidth="1" min="24" max="24"/>
    <col width="30.33203125" customWidth="1" min="25" max="25"/>
    <col width="12.77734375" customWidth="1" min="26" max="26"/>
  </cols>
  <sheetData>
    <row r="1">
      <c r="A1" s="7" t="inlineStr">
        <is>
          <t>Layer</t>
        </is>
      </c>
      <c r="B1" s="7" t="inlineStr">
        <is>
          <t>Type</t>
        </is>
      </c>
      <c r="C1" s="10" t="inlineStr">
        <is>
          <t>H</t>
        </is>
      </c>
      <c r="D1" s="10" t="inlineStr">
        <is>
          <t>W</t>
        </is>
      </c>
      <c r="E1" s="10" t="inlineStr">
        <is>
          <t>Cin</t>
        </is>
      </c>
      <c r="F1" s="1" t="inlineStr">
        <is>
          <t>Filter/Weight</t>
        </is>
      </c>
      <c r="G1" s="1" t="inlineStr">
        <is>
          <t>Cin</t>
        </is>
      </c>
      <c r="H1" s="1" t="inlineStr">
        <is>
          <t>Cout</t>
        </is>
      </c>
      <c r="I1" s="4" t="inlineStr">
        <is>
          <t>BN</t>
        </is>
      </c>
      <c r="J1" s="4" t="inlineStr">
        <is>
          <t>D</t>
        </is>
      </c>
      <c r="K1" s="4" t="inlineStr">
        <is>
          <t>None</t>
        </is>
      </c>
      <c r="L1" s="14" t="inlineStr">
        <is>
          <t>H</t>
        </is>
      </c>
      <c r="M1" s="14" t="inlineStr">
        <is>
          <t>W</t>
        </is>
      </c>
      <c r="N1" s="14" t="inlineStr">
        <is>
          <t>Cin</t>
        </is>
      </c>
      <c r="O1" s="4" t="inlineStr">
        <is>
          <t>Input 1 Memory(kB)</t>
        </is>
      </c>
      <c r="P1" s="4" t="inlineStr">
        <is>
          <t>Input 2 Memory(kB)</t>
        </is>
      </c>
      <c r="Q1" s="4" t="inlineStr">
        <is>
          <t>Input 3 Memory(kB)</t>
        </is>
      </c>
      <c r="R1" s="4" t="inlineStr">
        <is>
          <t>Output Memory(kB)</t>
        </is>
      </c>
      <c r="S1" s="4" t="inlineStr">
        <is>
          <t xml:space="preserve">Cycles </t>
        </is>
      </c>
      <c r="T1" s="4" t="inlineStr">
        <is>
          <t>Time[us]</t>
        </is>
      </c>
      <c r="U1" s="4" t="inlineStr">
        <is>
          <t>BW 1(Gbps)</t>
        </is>
      </c>
      <c r="V1" s="4" t="inlineStr">
        <is>
          <t>BW 2(Gbps)</t>
        </is>
      </c>
      <c r="W1" s="4" t="inlineStr">
        <is>
          <t>BW 3(Gbps)</t>
        </is>
      </c>
      <c r="X1" s="4" t="inlineStr">
        <is>
          <t>BW Out(Gbps)</t>
        </is>
      </c>
      <c r="Y1" s="19" t="inlineStr">
        <is>
          <t>freq Ghz</t>
        </is>
      </c>
      <c r="Z1" s="16" t="inlineStr">
        <is>
          <t>Mem BW Gbps</t>
        </is>
      </c>
    </row>
    <row r="2">
      <c r="A2" s="7" t="inlineStr">
        <is>
          <t>Input</t>
        </is>
      </c>
      <c r="B2" s="7" t="inlineStr">
        <is>
          <t>kpt+desc load</t>
        </is>
      </c>
      <c r="C2" s="11" t="n">
        <v>256</v>
      </c>
      <c r="D2" s="11" t="n">
        <v>512</v>
      </c>
      <c r="E2" s="11" t="n">
        <v>0</v>
      </c>
      <c r="F2" s="2" t="n">
        <v>0</v>
      </c>
      <c r="G2" s="2" t="n">
        <v>0</v>
      </c>
      <c r="H2" s="2" t="n">
        <v>1</v>
      </c>
      <c r="I2" s="3" t="n">
        <v>0</v>
      </c>
      <c r="J2" s="3" t="n">
        <v>0</v>
      </c>
      <c r="K2" s="3" t="n">
        <v>0</v>
      </c>
      <c r="L2" s="13" t="n">
        <v>256</v>
      </c>
      <c r="M2" s="13" t="n">
        <v>512</v>
      </c>
      <c r="N2" s="13" t="n">
        <v>0</v>
      </c>
      <c r="O2" s="3">
        <f>C2*D2/1024</f>
        <v/>
      </c>
      <c r="P2" s="3" t="n">
        <v>0</v>
      </c>
      <c r="Q2" s="3" t="n">
        <v>0</v>
      </c>
      <c r="R2" s="3">
        <f>L2*M2/1024</f>
        <v/>
      </c>
      <c r="S2" s="3" t="n">
        <v>0</v>
      </c>
      <c r="T2" s="3" t="n">
        <v>0</v>
      </c>
      <c r="U2" s="26" t="n">
        <v>0</v>
      </c>
      <c r="V2" s="26" t="n">
        <v>0</v>
      </c>
      <c r="W2" s="26" t="n">
        <v>0</v>
      </c>
      <c r="X2" s="26" t="n">
        <v>0</v>
      </c>
      <c r="Y2" t="n">
        <v>1</v>
      </c>
      <c r="Z2" t="n">
        <v>8</v>
      </c>
    </row>
    <row r="3">
      <c r="A3" s="7" t="inlineStr">
        <is>
          <t>KptEnc 3-&gt;32</t>
        </is>
      </c>
      <c r="B3" s="7" t="inlineStr">
        <is>
          <t>MAC matmul</t>
        </is>
      </c>
      <c r="C3" s="11" t="n">
        <v>32</v>
      </c>
      <c r="D3" s="11" t="n">
        <v>512</v>
      </c>
      <c r="E3" s="11" t="n">
        <v>3</v>
      </c>
      <c r="F3" s="2" t="n">
        <v>0</v>
      </c>
      <c r="G3" s="2" t="n">
        <v>3</v>
      </c>
      <c r="H3" s="2" t="n">
        <v>2</v>
      </c>
      <c r="I3" s="3" t="n">
        <v>0</v>
      </c>
      <c r="J3" s="3" t="n">
        <v>0</v>
      </c>
      <c r="K3" s="3" t="n">
        <v>0</v>
      </c>
      <c r="L3" s="13" t="n">
        <v>32</v>
      </c>
      <c r="M3" s="13" t="n">
        <v>512</v>
      </c>
      <c r="N3" s="13" t="n">
        <v>0</v>
      </c>
      <c r="O3" s="3">
        <f>C3*D3/1024</f>
        <v/>
      </c>
      <c r="P3" s="3" t="n">
        <v>0</v>
      </c>
      <c r="Q3" s="3" t="n">
        <v>0</v>
      </c>
      <c r="R3" s="3">
        <f>L3*M3/1024</f>
        <v/>
      </c>
      <c r="S3" s="3" t="n">
        <v>3860</v>
      </c>
      <c r="T3" s="3">
        <f>(S3/$Y$2)/1000</f>
        <v/>
      </c>
      <c r="U3" s="26">
        <f>((O3*8*1024)/$T3)/1000</f>
        <v/>
      </c>
      <c r="V3" s="26">
        <f>((P3*8*1024)/$T3)/1000</f>
        <v/>
      </c>
      <c r="W3" s="26">
        <f>((Q3*8*1024)/$T3)/1000</f>
        <v/>
      </c>
      <c r="X3" s="26">
        <f>((R3*8*1024)/$T3)/1000</f>
        <v/>
      </c>
      <c r="Y3" t="inlineStr">
        <is>
          <t>x2</t>
        </is>
      </c>
    </row>
    <row r="4">
      <c r="A4" s="7" t="inlineStr">
        <is>
          <t>KptEnc 32-&gt;64</t>
        </is>
      </c>
      <c r="B4" s="7" t="inlineStr">
        <is>
          <t>MAC matmul</t>
        </is>
      </c>
      <c r="C4" s="11" t="n">
        <v>64</v>
      </c>
      <c r="D4" s="11" t="n">
        <v>512</v>
      </c>
      <c r="E4" s="11" t="n">
        <v>32</v>
      </c>
      <c r="F4" s="2" t="n">
        <v>0</v>
      </c>
      <c r="G4" s="2" t="n">
        <v>32</v>
      </c>
      <c r="H4" s="2" t="n">
        <v>2</v>
      </c>
      <c r="I4" s="3" t="n">
        <v>0</v>
      </c>
      <c r="J4" s="3" t="n">
        <v>0</v>
      </c>
      <c r="K4" s="3" t="n">
        <v>0</v>
      </c>
      <c r="L4" s="13" t="n">
        <v>64</v>
      </c>
      <c r="M4" s="13" t="n">
        <v>512</v>
      </c>
      <c r="N4" s="13" t="n">
        <v>0</v>
      </c>
      <c r="O4" s="3">
        <f>C4*D4/1024</f>
        <v/>
      </c>
      <c r="P4" s="3" t="n">
        <v>0</v>
      </c>
      <c r="Q4" s="3" t="n">
        <v>0</v>
      </c>
      <c r="R4" s="3">
        <f>L4*M4/1024</f>
        <v/>
      </c>
      <c r="S4" s="3" t="n">
        <v>52265</v>
      </c>
      <c r="T4" s="3">
        <f>(S4/$Y$2)/1000</f>
        <v/>
      </c>
      <c r="U4" s="26">
        <f>((O4*8*1024)/$T4)/1000</f>
        <v/>
      </c>
      <c r="V4" s="26">
        <f>((P4*8*1024)/$T4)/1000</f>
        <v/>
      </c>
      <c r="W4" s="26">
        <f>((Q4*8*1024)/$T4)/1000</f>
        <v/>
      </c>
      <c r="X4" s="26">
        <f>((R4*8*1024)/$T4)/1000</f>
        <v/>
      </c>
      <c r="Y4" t="inlineStr">
        <is>
          <t>x2</t>
        </is>
      </c>
    </row>
    <row r="5">
      <c r="A5" s="7" t="inlineStr">
        <is>
          <t>KptEnc 64-&gt;128</t>
        </is>
      </c>
      <c r="B5" s="7" t="inlineStr">
        <is>
          <t>MAC matmul</t>
        </is>
      </c>
      <c r="C5" s="11" t="n">
        <v>128</v>
      </c>
      <c r="D5" s="11" t="n">
        <v>512</v>
      </c>
      <c r="E5" s="11" t="n">
        <v>64</v>
      </c>
      <c r="F5" s="2" t="n">
        <v>0</v>
      </c>
      <c r="G5" s="2" t="n">
        <v>64</v>
      </c>
      <c r="H5" s="2" t="n">
        <v>2</v>
      </c>
      <c r="I5" s="3" t="n">
        <v>0</v>
      </c>
      <c r="J5" s="3" t="n">
        <v>0</v>
      </c>
      <c r="K5" s="3" t="n">
        <v>0</v>
      </c>
      <c r="L5" s="13" t="n">
        <v>128</v>
      </c>
      <c r="M5" s="13" t="n">
        <v>512</v>
      </c>
      <c r="N5" s="13" t="n">
        <v>0</v>
      </c>
      <c r="O5" s="3">
        <f>C5*D5/1024</f>
        <v/>
      </c>
      <c r="P5" s="3" t="n">
        <v>0</v>
      </c>
      <c r="Q5" s="3" t="n">
        <v>0</v>
      </c>
      <c r="R5" s="3">
        <f>L5*M5/1024</f>
        <v/>
      </c>
      <c r="S5" s="3" t="n">
        <v>202834</v>
      </c>
      <c r="T5" s="3">
        <f>(S5/$Y$2)/1000</f>
        <v/>
      </c>
      <c r="U5" s="26">
        <f>((O5*8*1024)/$T5)/1000</f>
        <v/>
      </c>
      <c r="V5" s="26">
        <f>((P5*8*1024)/$T5)/1000</f>
        <v/>
      </c>
      <c r="W5" s="26">
        <f>((Q5*8*1024)/$T5)/1000</f>
        <v/>
      </c>
      <c r="X5" s="26">
        <f>((R5*8*1024)/$T5)/1000</f>
        <v/>
      </c>
      <c r="Y5" t="inlineStr">
        <is>
          <t>x2</t>
        </is>
      </c>
    </row>
    <row r="6">
      <c r="A6" s="7" t="inlineStr">
        <is>
          <t>KptEnc 128-&gt;256</t>
        </is>
      </c>
      <c r="B6" s="7" t="inlineStr">
        <is>
          <t>MAC matmul</t>
        </is>
      </c>
      <c r="C6" s="11" t="n">
        <v>256</v>
      </c>
      <c r="D6" s="11" t="n">
        <v>512</v>
      </c>
      <c r="E6" s="11" t="n">
        <v>128</v>
      </c>
      <c r="F6" s="2" t="n">
        <v>0</v>
      </c>
      <c r="G6" s="2" t="n">
        <v>128</v>
      </c>
      <c r="H6" s="2" t="n">
        <v>2</v>
      </c>
      <c r="I6" s="3" t="n">
        <v>0</v>
      </c>
      <c r="J6" s="3" t="n">
        <v>0</v>
      </c>
      <c r="K6" s="3" t="n">
        <v>0</v>
      </c>
      <c r="L6" s="13" t="n">
        <v>256</v>
      </c>
      <c r="M6" s="13" t="n">
        <v>512</v>
      </c>
      <c r="N6" s="13" t="n">
        <v>0</v>
      </c>
      <c r="O6" s="3">
        <f>C6*D6/1024</f>
        <v/>
      </c>
      <c r="P6" s="3" t="n">
        <v>0</v>
      </c>
      <c r="Q6" s="3" t="n">
        <v>0</v>
      </c>
      <c r="R6" s="3">
        <f>L6*M6/1024</f>
        <v/>
      </c>
      <c r="S6" s="3" t="n">
        <v>798884</v>
      </c>
      <c r="T6" s="3">
        <f>(S6/$Y$2)/1000</f>
        <v/>
      </c>
      <c r="U6" s="26">
        <f>((O6*8*1024)/$T6)/1000</f>
        <v/>
      </c>
      <c r="V6" s="26">
        <f>((P6*8*1024)/$T6)/1000</f>
        <v/>
      </c>
      <c r="W6" s="26">
        <f>((Q6*8*1024)/$T6)/1000</f>
        <v/>
      </c>
      <c r="X6" s="26">
        <f>((R6*8*1024)/$T6)/1000</f>
        <v/>
      </c>
      <c r="Y6" t="inlineStr">
        <is>
          <t>x2</t>
        </is>
      </c>
    </row>
    <row r="7">
      <c r="A7" s="7" t="inlineStr">
        <is>
          <t>Residual desc+=enc</t>
        </is>
      </c>
      <c r="B7" s="7" t="inlineStr">
        <is>
          <t>add</t>
        </is>
      </c>
      <c r="C7" s="11" t="n">
        <v>256</v>
      </c>
      <c r="D7" s="11" t="n">
        <v>512</v>
      </c>
      <c r="E7" s="11" t="n">
        <v>0</v>
      </c>
      <c r="F7" s="2" t="n">
        <v>0</v>
      </c>
      <c r="G7" s="2" t="n">
        <v>0</v>
      </c>
      <c r="H7" s="2" t="n">
        <v>2</v>
      </c>
      <c r="I7" s="3" t="n">
        <v>0</v>
      </c>
      <c r="J7" s="3" t="n">
        <v>0</v>
      </c>
      <c r="K7" s="3" t="n">
        <v>0</v>
      </c>
      <c r="L7" s="13" t="n">
        <v>256</v>
      </c>
      <c r="M7" s="13" t="n">
        <v>512</v>
      </c>
      <c r="N7" s="13" t="n">
        <v>0</v>
      </c>
      <c r="O7" s="3">
        <f>C7*D7/1024</f>
        <v/>
      </c>
      <c r="P7" s="3" t="n">
        <v>0</v>
      </c>
      <c r="Q7" s="3" t="n">
        <v>0</v>
      </c>
      <c r="R7" s="3">
        <f>L7*M7/1024</f>
        <v/>
      </c>
      <c r="S7" s="3" t="n">
        <v>10240</v>
      </c>
      <c r="T7" s="3">
        <f>(S7/$Y$2)/1000</f>
        <v/>
      </c>
      <c r="U7" s="26">
        <f>((O7*8*1024)/$T7)/1000</f>
        <v/>
      </c>
      <c r="V7" s="26">
        <f>((P7*8*1024)/$T7)/1000</f>
        <v/>
      </c>
      <c r="W7" s="26">
        <f>((Q7*8*1024)/$T7)/1000</f>
        <v/>
      </c>
      <c r="X7" s="26">
        <f>((R7*8*1024)/$T7)/1000</f>
        <v/>
      </c>
      <c r="Y7" t="inlineStr">
        <is>
          <t>x2</t>
        </is>
      </c>
    </row>
    <row r="8">
      <c r="A8" s="7" t="inlineStr">
        <is>
          <t>Q proj D-&gt;D</t>
        </is>
      </c>
      <c r="B8" s="7" t="inlineStr">
        <is>
          <t>MAC</t>
        </is>
      </c>
      <c r="C8" s="11" t="n">
        <v>256</v>
      </c>
      <c r="D8" s="11" t="n">
        <v>512</v>
      </c>
      <c r="E8" s="11" t="n">
        <v>256</v>
      </c>
      <c r="F8" s="2" t="n">
        <v>0</v>
      </c>
      <c r="G8" s="2" t="n">
        <v>256</v>
      </c>
      <c r="H8" s="2" t="n">
        <v>36</v>
      </c>
      <c r="I8" s="3" t="n">
        <v>0</v>
      </c>
      <c r="J8" s="3" t="n">
        <v>0</v>
      </c>
      <c r="K8" s="3" t="n">
        <v>0</v>
      </c>
      <c r="L8" s="13" t="n">
        <v>256</v>
      </c>
      <c r="M8" s="13" t="n">
        <v>512</v>
      </c>
      <c r="N8" s="13" t="n">
        <v>0</v>
      </c>
      <c r="O8" s="3">
        <f>C8*D8/1024</f>
        <v/>
      </c>
      <c r="P8" s="3" t="n">
        <v>0</v>
      </c>
      <c r="Q8" s="3" t="n">
        <v>0</v>
      </c>
      <c r="R8" s="3">
        <f>L8*M8/1024</f>
        <v/>
      </c>
      <c r="S8" s="3" t="n">
        <v>28535685</v>
      </c>
      <c r="T8" s="3">
        <f>(S8/$Y$2)/1000</f>
        <v/>
      </c>
      <c r="U8" s="26">
        <f>((O8*8*1024)/$T8)/1000</f>
        <v/>
      </c>
      <c r="V8" s="26">
        <f>((P8*8*1024)/$T8)/1000</f>
        <v/>
      </c>
      <c r="W8" s="26">
        <f>((Q8*8*1024)/$T8)/1000</f>
        <v/>
      </c>
      <c r="X8" s="26">
        <f>((R8*8*1024)/$T8)/1000</f>
        <v/>
      </c>
      <c r="Y8" t="inlineStr">
        <is>
          <t>x36</t>
        </is>
      </c>
    </row>
    <row r="9">
      <c r="A9" s="7" t="inlineStr">
        <is>
          <t>K proj D-&gt;D</t>
        </is>
      </c>
      <c r="B9" s="7" t="inlineStr">
        <is>
          <t>MAC</t>
        </is>
      </c>
      <c r="C9" s="11" t="n">
        <v>256</v>
      </c>
      <c r="D9" s="11" t="n">
        <v>512</v>
      </c>
      <c r="E9" s="11" t="n">
        <v>256</v>
      </c>
      <c r="F9" s="2" t="n">
        <v>0</v>
      </c>
      <c r="G9" s="2" t="n">
        <v>256</v>
      </c>
      <c r="H9" s="2" t="n">
        <v>36</v>
      </c>
      <c r="I9" s="3" t="n">
        <v>0</v>
      </c>
      <c r="J9" s="3" t="n">
        <v>0</v>
      </c>
      <c r="K9" s="3" t="n">
        <v>0</v>
      </c>
      <c r="L9" s="13" t="n">
        <v>256</v>
      </c>
      <c r="M9" s="13" t="n">
        <v>512</v>
      </c>
      <c r="N9" s="13" t="n">
        <v>0</v>
      </c>
      <c r="O9" s="3">
        <f>C9*D9/1024</f>
        <v/>
      </c>
      <c r="P9" s="3" t="n">
        <v>0</v>
      </c>
      <c r="Q9" s="3" t="n">
        <v>0</v>
      </c>
      <c r="R9" s="3">
        <f>L9*M9/1024</f>
        <v/>
      </c>
      <c r="S9" s="3" t="n">
        <v>28535685</v>
      </c>
      <c r="T9" s="3">
        <f>(S9/$Y$2)/1000</f>
        <v/>
      </c>
      <c r="U9" s="26">
        <f>((O9*8*1024)/$T9)/1000</f>
        <v/>
      </c>
      <c r="V9" s="26">
        <f>((P9*8*1024)/$T9)/1000</f>
        <v/>
      </c>
      <c r="W9" s="26">
        <f>((Q9*8*1024)/$T9)/1000</f>
        <v/>
      </c>
      <c r="X9" s="26">
        <f>((R9*8*1024)/$T9)/1000</f>
        <v/>
      </c>
      <c r="Y9" t="inlineStr">
        <is>
          <t>x36</t>
        </is>
      </c>
    </row>
    <row r="10">
      <c r="A10" s="7" t="inlineStr">
        <is>
          <t>V proj D-&gt;D</t>
        </is>
      </c>
      <c r="B10" s="7" t="inlineStr">
        <is>
          <t>MAC</t>
        </is>
      </c>
      <c r="C10" s="11" t="n">
        <v>256</v>
      </c>
      <c r="D10" s="11" t="n">
        <v>512</v>
      </c>
      <c r="E10" s="11" t="n">
        <v>256</v>
      </c>
      <c r="F10" s="2" t="n">
        <v>0</v>
      </c>
      <c r="G10" s="2" t="n">
        <v>256</v>
      </c>
      <c r="H10" s="2" t="n">
        <v>36</v>
      </c>
      <c r="I10" s="3" t="n">
        <v>0</v>
      </c>
      <c r="J10" s="3" t="n">
        <v>0</v>
      </c>
      <c r="K10" s="3" t="n">
        <v>0</v>
      </c>
      <c r="L10" s="13" t="n">
        <v>256</v>
      </c>
      <c r="M10" s="13" t="n">
        <v>512</v>
      </c>
      <c r="N10" s="13" t="n">
        <v>0</v>
      </c>
      <c r="O10" s="3">
        <f>C10*D10/1024</f>
        <v/>
      </c>
      <c r="P10" s="3" t="n">
        <v>0</v>
      </c>
      <c r="Q10" s="3" t="n">
        <v>0</v>
      </c>
      <c r="R10" s="3">
        <f>L10*M10/1024</f>
        <v/>
      </c>
      <c r="S10" s="3" t="n">
        <v>28535685</v>
      </c>
      <c r="T10" s="3">
        <f>(S10/$Y$2)/1000</f>
        <v/>
      </c>
      <c r="U10" s="26">
        <f>((O10*8*1024)/$T10)/1000</f>
        <v/>
      </c>
      <c r="V10" s="26">
        <f>((P10*8*1024)/$T10)/1000</f>
        <v/>
      </c>
      <c r="W10" s="26">
        <f>((Q10*8*1024)/$T10)/1000</f>
        <v/>
      </c>
      <c r="X10" s="26">
        <f>((R10*8*1024)/$T10)/1000</f>
        <v/>
      </c>
      <c r="Y10" t="inlineStr">
        <is>
          <t>x36</t>
        </is>
      </c>
    </row>
    <row r="11">
      <c r="A11" s="7" t="inlineStr">
        <is>
          <t>QKt</t>
        </is>
      </c>
      <c r="B11" s="7" t="inlineStr">
        <is>
          <t>MAC</t>
        </is>
      </c>
      <c r="C11" s="11" t="n">
        <v>512</v>
      </c>
      <c r="D11" s="11" t="n">
        <v>512</v>
      </c>
      <c r="E11" s="11" t="n">
        <v>64</v>
      </c>
      <c r="F11" s="2" t="n">
        <v>0</v>
      </c>
      <c r="G11" s="2" t="n">
        <v>64</v>
      </c>
      <c r="H11" s="2" t="n">
        <v>144</v>
      </c>
      <c r="I11" s="3" t="n">
        <v>0</v>
      </c>
      <c r="J11" s="3" t="n">
        <v>0</v>
      </c>
      <c r="K11" s="3" t="n">
        <v>0</v>
      </c>
      <c r="L11" s="13" t="n">
        <v>512</v>
      </c>
      <c r="M11" s="13" t="n">
        <v>512</v>
      </c>
      <c r="N11" s="13" t="n">
        <v>0</v>
      </c>
      <c r="O11" s="3">
        <f>C11*D11/1024</f>
        <v/>
      </c>
      <c r="P11" s="3" t="n">
        <v>0</v>
      </c>
      <c r="Q11" s="3" t="n">
        <v>0</v>
      </c>
      <c r="R11" s="3">
        <f>L11*M11/1024</f>
        <v/>
      </c>
      <c r="S11" s="3" t="n">
        <v>58416169</v>
      </c>
      <c r="T11" s="3">
        <f>(S11/$Y$2)/1000</f>
        <v/>
      </c>
      <c r="U11" s="26">
        <f>((O11*8*1024)/$T11)/1000</f>
        <v/>
      </c>
      <c r="V11" s="26">
        <f>((P11*8*1024)/$T11)/1000</f>
        <v/>
      </c>
      <c r="W11" s="26">
        <f>((Q11*8*1024)/$T11)/1000</f>
        <v/>
      </c>
      <c r="X11" s="26">
        <f>((R11*8*1024)/$T11)/1000</f>
        <v/>
      </c>
      <c r="Y11" t="inlineStr">
        <is>
          <t>x144</t>
        </is>
      </c>
    </row>
    <row r="12">
      <c r="A12" s="7" t="inlineStr">
        <is>
          <t>scale</t>
        </is>
      </c>
      <c r="B12" s="7" t="inlineStr">
        <is>
          <t>multiply</t>
        </is>
      </c>
      <c r="C12" s="11" t="n">
        <v>512</v>
      </c>
      <c r="D12" s="11" t="n">
        <v>512</v>
      </c>
      <c r="E12" s="11" t="n">
        <v>0</v>
      </c>
      <c r="F12" s="2" t="n">
        <v>0</v>
      </c>
      <c r="G12" s="2" t="n">
        <v>0</v>
      </c>
      <c r="H12" s="2" t="n">
        <v>144</v>
      </c>
      <c r="I12" s="3" t="n">
        <v>0</v>
      </c>
      <c r="J12" s="3" t="n">
        <v>0</v>
      </c>
      <c r="K12" s="3" t="n">
        <v>0</v>
      </c>
      <c r="L12" s="13" t="n">
        <v>512</v>
      </c>
      <c r="M12" s="13" t="n">
        <v>512</v>
      </c>
      <c r="N12" s="13" t="n">
        <v>0</v>
      </c>
      <c r="O12" s="3">
        <f>C12*D12/1024</f>
        <v/>
      </c>
      <c r="P12" s="3" t="n">
        <v>0</v>
      </c>
      <c r="Q12" s="3" t="n">
        <v>0</v>
      </c>
      <c r="R12" s="3">
        <f>L12*M12/1024</f>
        <v/>
      </c>
      <c r="S12" s="3" t="n">
        <v>1474560</v>
      </c>
      <c r="T12" s="3">
        <f>(S12/$Y$2)/1000</f>
        <v/>
      </c>
      <c r="U12" s="26">
        <f>((O12*8*1024)/$T12)/1000</f>
        <v/>
      </c>
      <c r="V12" s="26">
        <f>((P12*8*1024)/$T12)/1000</f>
        <v/>
      </c>
      <c r="W12" s="26">
        <f>((Q12*8*1024)/$T12)/1000</f>
        <v/>
      </c>
      <c r="X12" s="26">
        <f>((R12*8*1024)/$T12)/1000</f>
        <v/>
      </c>
      <c r="Y12" t="inlineStr">
        <is>
          <t>x144</t>
        </is>
      </c>
    </row>
    <row r="13">
      <c r="A13" s="7" t="inlineStr">
        <is>
          <t>softmax</t>
        </is>
      </c>
      <c r="B13" s="7" t="inlineStr">
        <is>
          <t>max,exp2,sum,mul</t>
        </is>
      </c>
      <c r="C13" s="11" t="n">
        <v>512</v>
      </c>
      <c r="D13" s="11" t="n">
        <v>512</v>
      </c>
      <c r="E13" s="11" t="n">
        <v>0</v>
      </c>
      <c r="F13" s="2" t="n">
        <v>0</v>
      </c>
      <c r="G13" s="2" t="n">
        <v>0</v>
      </c>
      <c r="H13" s="2" t="n">
        <v>144</v>
      </c>
      <c r="I13" s="3" t="n">
        <v>0</v>
      </c>
      <c r="J13" s="3" t="n">
        <v>0</v>
      </c>
      <c r="K13" s="3" t="n">
        <v>0</v>
      </c>
      <c r="L13" s="13" t="n">
        <v>512</v>
      </c>
      <c r="M13" s="13" t="n">
        <v>512</v>
      </c>
      <c r="N13" s="13" t="n">
        <v>0</v>
      </c>
      <c r="O13" s="3">
        <f>C13*D13/1024</f>
        <v/>
      </c>
      <c r="P13" s="3" t="n">
        <v>0</v>
      </c>
      <c r="Q13" s="3" t="n">
        <v>0</v>
      </c>
      <c r="R13" s="3">
        <f>L13*M13/1024</f>
        <v/>
      </c>
      <c r="S13" s="3" t="n">
        <v>5603328</v>
      </c>
      <c r="T13" s="3">
        <f>(S13/$Y$2)/1000</f>
        <v/>
      </c>
      <c r="U13" s="26">
        <f>((O13*8*1024)/$T13)/1000</f>
        <v/>
      </c>
      <c r="V13" s="26">
        <f>((P13*8*1024)/$T13)/1000</f>
        <v/>
      </c>
      <c r="W13" s="26">
        <f>((Q13*8*1024)/$T13)/1000</f>
        <v/>
      </c>
      <c r="X13" s="26">
        <f>((R13*8*1024)/$T13)/1000</f>
        <v/>
      </c>
      <c r="Y13" t="inlineStr">
        <is>
          <t>x144</t>
        </is>
      </c>
    </row>
    <row r="14">
      <c r="A14" s="7" t="inlineStr">
        <is>
          <t>attn @ V</t>
        </is>
      </c>
      <c r="B14" s="7" t="inlineStr">
        <is>
          <t>MAC</t>
        </is>
      </c>
      <c r="C14" s="11" t="n">
        <v>512</v>
      </c>
      <c r="D14" s="11" t="n">
        <v>64</v>
      </c>
      <c r="E14" s="11" t="n">
        <v>512</v>
      </c>
      <c r="F14" s="2" t="n">
        <v>0</v>
      </c>
      <c r="G14" s="2" t="n">
        <v>512</v>
      </c>
      <c r="H14" s="2" t="n">
        <v>144</v>
      </c>
      <c r="I14" s="3" t="n">
        <v>0</v>
      </c>
      <c r="J14" s="3" t="n">
        <v>0</v>
      </c>
      <c r="K14" s="3" t="n">
        <v>0</v>
      </c>
      <c r="L14" s="13" t="n">
        <v>512</v>
      </c>
      <c r="M14" s="13" t="n">
        <v>64</v>
      </c>
      <c r="N14" s="13" t="n">
        <v>0</v>
      </c>
      <c r="O14" s="3">
        <f>C14*D14/1024</f>
        <v/>
      </c>
      <c r="P14" s="3" t="n">
        <v>0</v>
      </c>
      <c r="Q14" s="3" t="n">
        <v>0</v>
      </c>
      <c r="R14" s="3">
        <f>L14*M14/1024</f>
        <v/>
      </c>
      <c r="S14" s="3" t="n">
        <v>56847237</v>
      </c>
      <c r="T14" s="3">
        <f>(S14/$Y$2)/1000</f>
        <v/>
      </c>
      <c r="U14" s="26">
        <f>((O14*8*1024)/$T14)/1000</f>
        <v/>
      </c>
      <c r="V14" s="26">
        <f>((P14*8*1024)/$T14)/1000</f>
        <v/>
      </c>
      <c r="W14" s="26">
        <f>((Q14*8*1024)/$T14)/1000</f>
        <v/>
      </c>
      <c r="X14" s="26">
        <f>((R14*8*1024)/$T14)/1000</f>
        <v/>
      </c>
      <c r="Y14" t="inlineStr">
        <is>
          <t>x144</t>
        </is>
      </c>
    </row>
    <row r="15">
      <c r="A15" s="7" t="inlineStr">
        <is>
          <t>out proj</t>
        </is>
      </c>
      <c r="B15" s="7" t="inlineStr">
        <is>
          <t>MAC</t>
        </is>
      </c>
      <c r="C15" s="11" t="n">
        <v>256</v>
      </c>
      <c r="D15" s="11" t="n">
        <v>512</v>
      </c>
      <c r="E15" s="11" t="n">
        <v>256</v>
      </c>
      <c r="F15" s="2" t="n">
        <v>0</v>
      </c>
      <c r="G15" s="2" t="n">
        <v>256</v>
      </c>
      <c r="H15" s="2" t="n">
        <v>36</v>
      </c>
      <c r="I15" s="3" t="n">
        <v>0</v>
      </c>
      <c r="J15" s="3" t="n">
        <v>0</v>
      </c>
      <c r="K15" s="3" t="n">
        <v>0</v>
      </c>
      <c r="L15" s="13" t="n">
        <v>256</v>
      </c>
      <c r="M15" s="13" t="n">
        <v>512</v>
      </c>
      <c r="N15" s="13" t="n">
        <v>0</v>
      </c>
      <c r="O15" s="3">
        <f>C15*D15/1024</f>
        <v/>
      </c>
      <c r="P15" s="3" t="n">
        <v>0</v>
      </c>
      <c r="Q15" s="3" t="n">
        <v>0</v>
      </c>
      <c r="R15" s="3">
        <f>L15*M15/1024</f>
        <v/>
      </c>
      <c r="S15" s="3" t="n">
        <v>28535685</v>
      </c>
      <c r="T15" s="3">
        <f>(S15/$Y$2)/1000</f>
        <v/>
      </c>
      <c r="U15" s="26">
        <f>((O15*8*1024)/$T15)/1000</f>
        <v/>
      </c>
      <c r="V15" s="26">
        <f>((P15*8*1024)/$T15)/1000</f>
        <v/>
      </c>
      <c r="W15" s="26">
        <f>((Q15*8*1024)/$T15)/1000</f>
        <v/>
      </c>
      <c r="X15" s="26">
        <f>((R15*8*1024)/$T15)/1000</f>
        <v/>
      </c>
      <c r="Y15" t="inlineStr">
        <is>
          <t>x36</t>
        </is>
      </c>
    </row>
    <row r="16">
      <c r="A16" s="7" t="inlineStr">
        <is>
          <t>Residual x+=msg</t>
        </is>
      </c>
      <c r="B16" s="7" t="inlineStr">
        <is>
          <t>add</t>
        </is>
      </c>
      <c r="C16" s="11" t="n">
        <v>256</v>
      </c>
      <c r="D16" s="11" t="n">
        <v>512</v>
      </c>
      <c r="E16" s="11" t="n">
        <v>0</v>
      </c>
      <c r="F16" s="2" t="n">
        <v>0</v>
      </c>
      <c r="G16" s="2" t="n">
        <v>0</v>
      </c>
      <c r="H16" s="2" t="n">
        <v>36</v>
      </c>
      <c r="I16" s="3" t="n">
        <v>0</v>
      </c>
      <c r="J16" s="3" t="n">
        <v>0</v>
      </c>
      <c r="K16" s="3" t="n">
        <v>0</v>
      </c>
      <c r="L16" s="13" t="n">
        <v>256</v>
      </c>
      <c r="M16" s="13" t="n">
        <v>512</v>
      </c>
      <c r="N16" s="13" t="n">
        <v>0</v>
      </c>
      <c r="O16" s="3">
        <f>C16*D16/1024</f>
        <v/>
      </c>
      <c r="P16" s="3" t="n">
        <v>0</v>
      </c>
      <c r="Q16" s="3" t="n">
        <v>0</v>
      </c>
      <c r="R16" s="3">
        <f>L16*M16/1024</f>
        <v/>
      </c>
      <c r="S16" s="3" t="n">
        <v>184320</v>
      </c>
      <c r="T16" s="3">
        <f>(S16/$Y$2)/1000</f>
        <v/>
      </c>
      <c r="U16" s="26">
        <f>((O16*8*1024)/$T16)/1000</f>
        <v/>
      </c>
      <c r="V16" s="26">
        <f>((P16*8*1024)/$T16)/1000</f>
        <v/>
      </c>
      <c r="W16" s="26">
        <f>((Q16*8*1024)/$T16)/1000</f>
        <v/>
      </c>
      <c r="X16" s="26">
        <f>((R16*8*1024)/$T16)/1000</f>
        <v/>
      </c>
      <c r="Y16" t="inlineStr">
        <is>
          <t>x36</t>
        </is>
      </c>
    </row>
    <row r="17">
      <c r="A17" s="7" t="inlineStr">
        <is>
          <t>merge MLP 2D-&gt;2D</t>
        </is>
      </c>
      <c r="B17" s="7" t="inlineStr">
        <is>
          <t>MAC</t>
        </is>
      </c>
      <c r="C17" s="11" t="n">
        <v>512</v>
      </c>
      <c r="D17" s="11" t="n">
        <v>512</v>
      </c>
      <c r="E17" s="11" t="n">
        <v>512</v>
      </c>
      <c r="F17" s="2" t="n">
        <v>0</v>
      </c>
      <c r="G17" s="2" t="n">
        <v>512</v>
      </c>
      <c r="H17" s="2" t="n">
        <v>36</v>
      </c>
      <c r="I17" s="3" t="n">
        <v>0</v>
      </c>
      <c r="J17" s="3" t="n">
        <v>0</v>
      </c>
      <c r="K17" s="3" t="n">
        <v>0</v>
      </c>
      <c r="L17" s="13" t="n">
        <v>512</v>
      </c>
      <c r="M17" s="13" t="n">
        <v>512</v>
      </c>
      <c r="N17" s="13" t="n">
        <v>0</v>
      </c>
      <c r="O17" s="3">
        <f>C17*D17/1024</f>
        <v/>
      </c>
      <c r="P17" s="3" t="n">
        <v>0</v>
      </c>
      <c r="Q17" s="3" t="n">
        <v>0</v>
      </c>
      <c r="R17" s="3">
        <f>L17*M17/1024</f>
        <v/>
      </c>
      <c r="S17" s="3" t="n">
        <v>113694474</v>
      </c>
      <c r="T17" s="3">
        <f>(S17/$Y$2)/1000</f>
        <v/>
      </c>
      <c r="U17" s="26">
        <f>((O17*8*1024)/$T17)/1000</f>
        <v/>
      </c>
      <c r="V17" s="26">
        <f>((P17*8*1024)/$T17)/1000</f>
        <v/>
      </c>
      <c r="W17" s="26">
        <f>((Q17*8*1024)/$T17)/1000</f>
        <v/>
      </c>
      <c r="X17" s="26">
        <f>((R17*8*1024)/$T17)/1000</f>
        <v/>
      </c>
      <c r="Y17" t="inlineStr">
        <is>
          <t>x36</t>
        </is>
      </c>
    </row>
    <row r="18">
      <c r="A18" s="7" t="inlineStr">
        <is>
          <t>merge MLP relu</t>
        </is>
      </c>
      <c r="B18" s="7" t="inlineStr">
        <is>
          <t>relu</t>
        </is>
      </c>
      <c r="C18" s="11" t="n">
        <v>512</v>
      </c>
      <c r="D18" s="11" t="n">
        <v>512</v>
      </c>
      <c r="E18" s="11" t="n">
        <v>0</v>
      </c>
      <c r="F18" s="2" t="n">
        <v>0</v>
      </c>
      <c r="G18" s="2" t="n">
        <v>0</v>
      </c>
      <c r="H18" s="2" t="n">
        <v>36</v>
      </c>
      <c r="I18" s="3" t="n">
        <v>0</v>
      </c>
      <c r="J18" s="3" t="n">
        <v>0</v>
      </c>
      <c r="K18" s="3" t="n">
        <v>0</v>
      </c>
      <c r="L18" s="13" t="n">
        <v>512</v>
      </c>
      <c r="M18" s="13" t="n">
        <v>512</v>
      </c>
      <c r="N18" s="13" t="n">
        <v>0</v>
      </c>
      <c r="O18" s="3">
        <f>C18*D18/1024</f>
        <v/>
      </c>
      <c r="P18" s="3" t="n">
        <v>0</v>
      </c>
      <c r="Q18" s="3" t="n">
        <v>0</v>
      </c>
      <c r="R18" s="3">
        <f>L18*M18/1024</f>
        <v/>
      </c>
      <c r="S18" s="3" t="n">
        <v>368640</v>
      </c>
      <c r="T18" s="3">
        <f>(S18/$Y$2)/1000</f>
        <v/>
      </c>
      <c r="U18" s="26">
        <f>((O18*8*1024)/$T18)/1000</f>
        <v/>
      </c>
      <c r="V18" s="26">
        <f>((P18*8*1024)/$T18)/1000</f>
        <v/>
      </c>
      <c r="W18" s="26">
        <f>((Q18*8*1024)/$T18)/1000</f>
        <v/>
      </c>
      <c r="X18" s="26">
        <f>((R18*8*1024)/$T18)/1000</f>
        <v/>
      </c>
      <c r="Y18" t="inlineStr">
        <is>
          <t>x36</t>
        </is>
      </c>
    </row>
    <row r="19">
      <c r="A19" s="7" t="inlineStr">
        <is>
          <t>merge MLP 2D-&gt;D</t>
        </is>
      </c>
      <c r="B19" s="7" t="inlineStr">
        <is>
          <t>MAC</t>
        </is>
      </c>
      <c r="C19" s="11" t="n">
        <v>256</v>
      </c>
      <c r="D19" s="11" t="n">
        <v>512</v>
      </c>
      <c r="E19" s="11" t="n">
        <v>512</v>
      </c>
      <c r="F19" s="2" t="n">
        <v>0</v>
      </c>
      <c r="G19" s="2" t="n">
        <v>512</v>
      </c>
      <c r="H19" s="2" t="n">
        <v>36</v>
      </c>
      <c r="I19" s="3" t="n">
        <v>0</v>
      </c>
      <c r="J19" s="3" t="n">
        <v>0</v>
      </c>
      <c r="K19" s="3" t="n">
        <v>0</v>
      </c>
      <c r="L19" s="13" t="n">
        <v>256</v>
      </c>
      <c r="M19" s="13" t="n">
        <v>512</v>
      </c>
      <c r="N19" s="13" t="n">
        <v>0</v>
      </c>
      <c r="O19" s="3">
        <f>C19*D19/1024</f>
        <v/>
      </c>
      <c r="P19" s="3" t="n">
        <v>0</v>
      </c>
      <c r="Q19" s="3" t="n">
        <v>0</v>
      </c>
      <c r="R19" s="3">
        <f>L19*M19/1024</f>
        <v/>
      </c>
      <c r="S19" s="3" t="n">
        <v>56847237</v>
      </c>
      <c r="T19" s="3">
        <f>(S19/$Y$2)/1000</f>
        <v/>
      </c>
      <c r="U19" s="26">
        <f>((O19*8*1024)/$T19)/1000</f>
        <v/>
      </c>
      <c r="V19" s="26">
        <f>((P19*8*1024)/$T19)/1000</f>
        <v/>
      </c>
      <c r="W19" s="26">
        <f>((Q19*8*1024)/$T19)/1000</f>
        <v/>
      </c>
      <c r="X19" s="26">
        <f>((R19*8*1024)/$T19)/1000</f>
        <v/>
      </c>
      <c r="Y19" t="inlineStr">
        <is>
          <t>x36</t>
        </is>
      </c>
    </row>
    <row r="20">
      <c r="A20" s="7" t="inlineStr">
        <is>
          <t>Residual x+=mlp</t>
        </is>
      </c>
      <c r="B20" s="7" t="inlineStr">
        <is>
          <t>add</t>
        </is>
      </c>
      <c r="C20" s="11" t="n">
        <v>256</v>
      </c>
      <c r="D20" s="11" t="n">
        <v>512</v>
      </c>
      <c r="E20" s="11" t="n">
        <v>0</v>
      </c>
      <c r="F20" s="2" t="n">
        <v>0</v>
      </c>
      <c r="G20" s="2" t="n">
        <v>0</v>
      </c>
      <c r="H20" s="2" t="n">
        <v>36</v>
      </c>
      <c r="I20" s="3" t="n">
        <v>0</v>
      </c>
      <c r="J20" s="3" t="n">
        <v>0</v>
      </c>
      <c r="K20" s="3" t="n">
        <v>0</v>
      </c>
      <c r="L20" s="13" t="n">
        <v>256</v>
      </c>
      <c r="M20" s="13" t="n">
        <v>512</v>
      </c>
      <c r="N20" s="13" t="n">
        <v>0</v>
      </c>
      <c r="O20" s="3">
        <f>C20*D20/1024</f>
        <v/>
      </c>
      <c r="P20" s="3" t="n">
        <v>0</v>
      </c>
      <c r="Q20" s="3" t="n">
        <v>0</v>
      </c>
      <c r="R20" s="3">
        <f>L20*M20/1024</f>
        <v/>
      </c>
      <c r="S20" s="3" t="n">
        <v>184320</v>
      </c>
      <c r="T20" s="3">
        <f>(S20/$Y$2)/1000</f>
        <v/>
      </c>
      <c r="U20" s="26">
        <f>((O20*8*1024)/$T20)/1000</f>
        <v/>
      </c>
      <c r="V20" s="26">
        <f>((P20*8*1024)/$T20)/1000</f>
        <v/>
      </c>
      <c r="W20" s="26">
        <f>((Q20*8*1024)/$T20)/1000</f>
        <v/>
      </c>
      <c r="X20" s="26">
        <f>((R20*8*1024)/$T20)/1000</f>
        <v/>
      </c>
      <c r="Y20" t="inlineStr">
        <is>
          <t>x36</t>
        </is>
      </c>
    </row>
    <row r="21">
      <c r="A21" s="7" t="inlineStr">
        <is>
          <t>final proj D-&gt;D</t>
        </is>
      </c>
      <c r="B21" s="7" t="inlineStr">
        <is>
          <t>MAC</t>
        </is>
      </c>
      <c r="C21" s="11" t="n">
        <v>256</v>
      </c>
      <c r="D21" s="11" t="n">
        <v>512</v>
      </c>
      <c r="E21" s="11" t="n">
        <v>256</v>
      </c>
      <c r="F21" s="2" t="n">
        <v>0</v>
      </c>
      <c r="G21" s="2" t="n">
        <v>256</v>
      </c>
      <c r="H21" s="2" t="n">
        <v>2</v>
      </c>
      <c r="I21" s="3" t="n">
        <v>0</v>
      </c>
      <c r="J21" s="3" t="n">
        <v>0</v>
      </c>
      <c r="K21" s="3" t="n">
        <v>0</v>
      </c>
      <c r="L21" s="13" t="n">
        <v>256</v>
      </c>
      <c r="M21" s="13" t="n">
        <v>512</v>
      </c>
      <c r="N21" s="13" t="n">
        <v>0</v>
      </c>
      <c r="O21" s="3">
        <f>C21*D21/1024</f>
        <v/>
      </c>
      <c r="P21" s="3" t="n">
        <v>0</v>
      </c>
      <c r="Q21" s="3" t="n">
        <v>0</v>
      </c>
      <c r="R21" s="3">
        <f>L21*M21/1024</f>
        <v/>
      </c>
      <c r="S21" s="3" t="n">
        <v>1585316</v>
      </c>
      <c r="T21" s="3">
        <f>(S21/$Y$2)/1000</f>
        <v/>
      </c>
      <c r="U21" s="26">
        <f>((O21*8*1024)/$T21)/1000</f>
        <v/>
      </c>
      <c r="V21" s="26">
        <f>((P21*8*1024)/$T21)/1000</f>
        <v/>
      </c>
      <c r="W21" s="26">
        <f>((Q21*8*1024)/$T21)/1000</f>
        <v/>
      </c>
      <c r="X21" s="26">
        <f>((R21*8*1024)/$T21)/1000</f>
        <v/>
      </c>
      <c r="Y21" t="inlineStr">
        <is>
          <t>x2</t>
        </is>
      </c>
    </row>
    <row r="22">
      <c r="A22" s="7" t="inlineStr">
        <is>
          <t>score = A^T B</t>
        </is>
      </c>
      <c r="B22" s="7" t="inlineStr">
        <is>
          <t>MAC</t>
        </is>
      </c>
      <c r="C22" s="11" t="n">
        <v>512</v>
      </c>
      <c r="D22" s="11" t="n">
        <v>512</v>
      </c>
      <c r="E22" s="11" t="n">
        <v>256</v>
      </c>
      <c r="F22" s="2" t="n">
        <v>0</v>
      </c>
      <c r="G22" s="2" t="n">
        <v>256</v>
      </c>
      <c r="H22" s="2" t="n">
        <v>1</v>
      </c>
      <c r="I22" s="3" t="n">
        <v>0</v>
      </c>
      <c r="J22" s="3" t="n">
        <v>0</v>
      </c>
      <c r="K22" s="3" t="n">
        <v>0</v>
      </c>
      <c r="L22" s="13" t="n">
        <v>512</v>
      </c>
      <c r="M22" s="13" t="n">
        <v>512</v>
      </c>
      <c r="N22" s="13" t="n">
        <v>0</v>
      </c>
      <c r="O22" s="3">
        <f>C22*D22/1024</f>
        <v/>
      </c>
      <c r="P22" s="3" t="n">
        <v>0</v>
      </c>
      <c r="Q22" s="3" t="n">
        <v>0</v>
      </c>
      <c r="R22" s="3">
        <f>L22*M22/1024</f>
        <v/>
      </c>
      <c r="S22" s="3" t="n">
        <v>1585316</v>
      </c>
      <c r="T22" s="3">
        <f>(S22/$Y$2)/1000</f>
        <v/>
      </c>
      <c r="U22" s="26">
        <f>((O22*8*1024)/$T22)/1000</f>
        <v/>
      </c>
      <c r="V22" s="26">
        <f>((P22*8*1024)/$T22)/1000</f>
        <v/>
      </c>
      <c r="W22" s="26">
        <f>((Q22*8*1024)/$T22)/1000</f>
        <v/>
      </c>
      <c r="X22" s="26">
        <f>((R22*8*1024)/$T22)/1000</f>
        <v/>
      </c>
    </row>
    <row r="23">
      <c r="A23" s="7" t="inlineStr">
        <is>
          <t>scale</t>
        </is>
      </c>
      <c r="B23" s="7" t="inlineStr">
        <is>
          <t>multiply</t>
        </is>
      </c>
      <c r="C23" s="11" t="n">
        <v>512</v>
      </c>
      <c r="D23" s="11" t="n">
        <v>512</v>
      </c>
      <c r="E23" s="11" t="n">
        <v>0</v>
      </c>
      <c r="F23" s="2" t="n">
        <v>0</v>
      </c>
      <c r="G23" s="2" t="n">
        <v>0</v>
      </c>
      <c r="H23" s="2" t="n">
        <v>1</v>
      </c>
      <c r="I23" s="3" t="n">
        <v>0</v>
      </c>
      <c r="J23" s="3" t="n">
        <v>0</v>
      </c>
      <c r="K23" s="3" t="n">
        <v>0</v>
      </c>
      <c r="L23" s="13" t="n">
        <v>512</v>
      </c>
      <c r="M23" s="13" t="n">
        <v>512</v>
      </c>
      <c r="N23" s="13" t="n">
        <v>0</v>
      </c>
      <c r="O23" s="3">
        <f>C23*D23/1024</f>
        <v/>
      </c>
      <c r="P23" s="3" t="n">
        <v>0</v>
      </c>
      <c r="Q23" s="3" t="n">
        <v>0</v>
      </c>
      <c r="R23" s="3">
        <f>L23*M23/1024</f>
        <v/>
      </c>
      <c r="S23" s="3" t="n">
        <v>10240</v>
      </c>
      <c r="T23" s="3">
        <f>(S23/$Y$2)/1000</f>
        <v/>
      </c>
      <c r="U23" s="26">
        <f>((O23*8*1024)/$T23)/1000</f>
        <v/>
      </c>
      <c r="V23" s="26">
        <f>((P23*8*1024)/$T23)/1000</f>
        <v/>
      </c>
      <c r="W23" s="26">
        <f>((Q23*8*1024)/$T23)/1000</f>
        <v/>
      </c>
      <c r="X23" s="26">
        <f>((R23*8*1024)/$T23)/1000</f>
        <v/>
      </c>
    </row>
    <row r="24">
      <c r="A24" s="7" t="inlineStr">
        <is>
          <t>Sinkhorn row norm (max)</t>
        </is>
      </c>
      <c r="B24" s="7" t="inlineStr">
        <is>
          <t>sum+scale</t>
        </is>
      </c>
      <c r="C24" s="11" t="n">
        <v>513</v>
      </c>
      <c r="D24" s="11" t="n">
        <v>513</v>
      </c>
      <c r="E24" s="11" t="n">
        <v>0</v>
      </c>
      <c r="F24" s="2" t="n">
        <v>0</v>
      </c>
      <c r="G24" s="2" t="n">
        <v>0</v>
      </c>
      <c r="H24" s="2" t="n">
        <v>100</v>
      </c>
      <c r="I24" s="3" t="n">
        <v>0</v>
      </c>
      <c r="J24" s="3" t="n">
        <v>0</v>
      </c>
      <c r="K24" s="3" t="n">
        <v>0</v>
      </c>
      <c r="L24" s="13" t="n">
        <v>513</v>
      </c>
      <c r="M24" s="13" t="n">
        <v>513</v>
      </c>
      <c r="N24" s="13" t="n">
        <v>0</v>
      </c>
      <c r="O24" s="3">
        <f>C24*D24/1024</f>
        <v/>
      </c>
      <c r="P24" s="3" t="n">
        <v>0</v>
      </c>
      <c r="Q24" s="3" t="n">
        <v>0</v>
      </c>
      <c r="R24" s="3">
        <f>L24*M24/1024</f>
        <v/>
      </c>
      <c r="S24" s="3" t="n">
        <v>2336555</v>
      </c>
      <c r="T24" s="3">
        <f>(S24/$Y$2)/1000</f>
        <v/>
      </c>
      <c r="U24" s="26">
        <f>((O24*8*1024)/$T24)/1000</f>
        <v/>
      </c>
      <c r="V24" s="26">
        <f>((P24*8*1024)/$T24)/1000</f>
        <v/>
      </c>
      <c r="W24" s="26">
        <f>((Q24*8*1024)/$T24)/1000</f>
        <v/>
      </c>
      <c r="X24" s="26">
        <f>((R24*8*1024)/$T24)/1000</f>
        <v/>
      </c>
      <c r="Y24" t="inlineStr">
        <is>
          <t>x100</t>
        </is>
      </c>
    </row>
    <row r="25">
      <c r="A25" s="7" t="inlineStr">
        <is>
          <t>Sinkhorn col norm (max)</t>
        </is>
      </c>
      <c r="B25" s="7" t="inlineStr">
        <is>
          <t>ACC.MAX+scale</t>
        </is>
      </c>
      <c r="C25" s="11" t="n">
        <v>513</v>
      </c>
      <c r="D25" s="11" t="n">
        <v>513</v>
      </c>
      <c r="E25" s="11" t="n">
        <v>0</v>
      </c>
      <c r="F25" s="2" t="n">
        <v>0</v>
      </c>
      <c r="G25" s="2" t="n">
        <v>0</v>
      </c>
      <c r="H25" s="2" t="n">
        <v>100</v>
      </c>
      <c r="I25" s="3" t="n">
        <v>0</v>
      </c>
      <c r="J25" s="3" t="n">
        <v>0</v>
      </c>
      <c r="K25" s="3" t="n">
        <v>0</v>
      </c>
      <c r="L25" s="13" t="n">
        <v>513</v>
      </c>
      <c r="M25" s="13" t="n">
        <v>513</v>
      </c>
      <c r="N25" s="13" t="n">
        <v>0</v>
      </c>
      <c r="O25" s="3">
        <f>C25*D25/1024</f>
        <v/>
      </c>
      <c r="P25" s="3" t="n">
        <v>0</v>
      </c>
      <c r="Q25" s="3" t="n">
        <v>0</v>
      </c>
      <c r="R25" s="3">
        <f>L25*M25/1024</f>
        <v/>
      </c>
      <c r="S25" s="3" t="n">
        <v>4176141</v>
      </c>
      <c r="T25" s="3">
        <f>(S25/$Y$2)/1000</f>
        <v/>
      </c>
      <c r="U25" s="26">
        <f>((O25*8*1024)/$T25)/1000</f>
        <v/>
      </c>
      <c r="V25" s="26">
        <f>((P25*8*1024)/$T25)/1000</f>
        <v/>
      </c>
      <c r="W25" s="26">
        <f>((Q25*8*1024)/$T25)/1000</f>
        <v/>
      </c>
      <c r="X25" s="26">
        <f>((R25*8*1024)/$T25)/1000</f>
        <v/>
      </c>
      <c r="Y25" t="inlineStr">
        <is>
          <t>x100</t>
        </is>
      </c>
    </row>
    <row r="26">
      <c r="A26" s="7" t="inlineStr">
        <is>
          <t>match readout</t>
        </is>
      </c>
      <c r="B26" s="7" t="inlineStr">
        <is>
          <t>argmax+thresh</t>
        </is>
      </c>
      <c r="C26" s="11" t="n">
        <v>513</v>
      </c>
      <c r="D26" s="11" t="n">
        <v>513</v>
      </c>
      <c r="E26" s="11" t="n">
        <v>0</v>
      </c>
      <c r="F26" s="2" t="n">
        <v>0</v>
      </c>
      <c r="G26" s="2" t="n">
        <v>0</v>
      </c>
      <c r="H26" s="2" t="n">
        <v>1</v>
      </c>
      <c r="I26" s="3" t="n">
        <v>0</v>
      </c>
      <c r="J26" s="3" t="n">
        <v>0</v>
      </c>
      <c r="K26" s="3" t="n">
        <v>0</v>
      </c>
      <c r="L26" s="13" t="n">
        <v>513</v>
      </c>
      <c r="M26" s="13" t="n">
        <v>513</v>
      </c>
      <c r="N26" s="13" t="n">
        <v>0</v>
      </c>
      <c r="O26" s="3">
        <f>C26*D26/1024</f>
        <v/>
      </c>
      <c r="P26" s="3" t="n">
        <v>0</v>
      </c>
      <c r="Q26" s="3" t="n">
        <v>0</v>
      </c>
      <c r="R26" s="3">
        <f>L26*M26/1024</f>
        <v/>
      </c>
      <c r="S26" s="3" t="n">
        <v>10285</v>
      </c>
      <c r="T26" s="3">
        <f>(S26/$Y$2)/1000</f>
        <v/>
      </c>
      <c r="U26" s="26">
        <f>((O26*8*1024)/$T26)/1000</f>
        <v/>
      </c>
      <c r="V26" s="26">
        <f>((P26*8*1024)/$T26)/1000</f>
        <v/>
      </c>
      <c r="W26" s="26">
        <f>((Q26*8*1024)/$T26)/1000</f>
        <v/>
      </c>
      <c r="X26" s="26">
        <f>((R26*8*1024)/$T26)/1000</f>
        <v/>
      </c>
    </row>
    <row r="28">
      <c r="A28" s="7" t="inlineStr">
        <is>
          <t>GRAND TOTAL [us] (measured)</t>
        </is>
      </c>
      <c r="Y28" s="17" t="inlineStr">
        <is>
          <t>measured emulator cycles -&gt;</t>
        </is>
      </c>
      <c r="Z28" s="17">
        <f>SUM(T2:T26)</f>
        <v/>
      </c>
    </row>
    <row r="29">
      <c r="A29" s="7" t="inlineStr">
        <is>
          <t>FPS (image pair)</t>
        </is>
      </c>
      <c r="Y29" s="17" t="inlineStr">
        <is>
          <t>frames / sec -&gt;</t>
        </is>
      </c>
      <c r="Z29" s="17">
        <f>1000000/Z28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Yuval Harary</dc:creator>
  <dcterms:created xsi:type="dcterms:W3CDTF">2026-02-12T09:33:23Z</dcterms:created>
  <dcterms:modified xsi:type="dcterms:W3CDTF">2026-05-28T06:37:35Z</dcterms:modified>
  <cp:lastModifiedBy>Yuval Harary</cp:lastModifiedBy>
</cp:coreProperties>
</file>