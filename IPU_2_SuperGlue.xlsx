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  <sheet name="SG max-Sinkhorn (measured)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s="47" t="n"/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s="47" t="n"/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s="47" t="n"/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s="47" t="n"/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s="47" t="n"/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s="47" t="n"/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s="47" t="n"/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A11" s="48" t="n"/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s="47" t="n"/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s="47" t="n"/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s="47" t="n"/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s="47" t="n"/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s="47" t="n"/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A18" s="47" t="n"/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A19" s="47" t="n"/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A20" s="47" t="n"/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s="47" t="n"/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s="47" t="n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s="47" t="n"/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s="47" t="n"/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s="47" t="n"/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s="47" t="n"/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47" t="n"/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47" t="n"/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47" t="n"/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47" t="n"/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A31" s="47" t="n"/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s="47" t="n"/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s="47" t="n"/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s="47" t="n"/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s="47" t="n"/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s="47" t="n"/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s="47" t="n"/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s="47" t="n"/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47" t="n"/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A40" s="48" t="n"/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47" t="n"/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47" t="n"/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47" t="n"/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A45" s="47" t="n"/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A46" s="47" t="n"/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s="47" t="n"/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s="47" t="n"/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A49" s="47" t="n"/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A50" s="47" t="n"/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A51" s="47" t="n"/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A52" s="47" t="n"/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A53" s="47" t="n"/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A54" s="47" t="n"/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A55" s="47" t="n"/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A56" s="47" t="n"/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A57" s="47" t="n"/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47" t="n"/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47" t="n"/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47" t="n"/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A61" s="47" t="n"/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A62" s="48" t="n"/>
    </row>
    <row r="64">
      <c r="A64" s="7" t="inlineStr">
        <is>
          <t>GRAND TOTAL [us]</t>
        </is>
      </c>
      <c r="Y64" s="17" t="inlineStr">
        <is>
          <t>variant: original</t>
        </is>
      </c>
      <c r="Z64" s="17">
        <f>Z11+Z40+2*(SUM(T41:T42))+SUM(T43:T44)+T45+Z57+SUM(T58:T62)</f>
        <v/>
      </c>
    </row>
    <row r="65">
      <c r="A65" s="7" t="inlineStr">
        <is>
          <t>FPS (image pair)</t>
        </is>
      </c>
      <c r="Y65" s="17" t="inlineStr">
        <is>
          <t>frames / sec -&gt;</t>
        </is>
      </c>
      <c r="Z65" s="17">
        <f>1000000/Z64</f>
        <v/>
      </c>
    </row>
  </sheetData>
  <mergeCells count="5">
    <mergeCell ref="AA47:AA57"/>
    <mergeCell ref="AA21:AA30"/>
    <mergeCell ref="AA12:AA40"/>
    <mergeCell ref="AA3:AA11"/>
    <mergeCell ref="AA41:AA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s="47" t="n"/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s="47" t="n"/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s="47" t="n"/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s="47" t="n"/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s="47" t="n"/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s="47" t="n"/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s="47" t="n"/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A11" s="48" t="n"/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s="47" t="n"/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s="47" t="n"/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s="47" t="n"/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s="47" t="n"/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s="47" t="n"/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A18" s="47" t="n"/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A19" s="47" t="n"/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A20" s="47" t="n"/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s="47" t="n"/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s="47" t="n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s="47" t="n"/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s="47" t="n"/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s="47" t="n"/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s="47" t="n"/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47" t="n"/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47" t="n"/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47" t="n"/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47" t="n"/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A31" s="47" t="n"/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s="47" t="n"/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s="47" t="n"/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s="47" t="n"/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s="47" t="n"/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s="47" t="n"/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s="47" t="n"/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s="47" t="n"/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47" t="n"/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A40" s="48" t="n"/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47" t="n"/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47" t="n"/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47" t="n"/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A45" s="47" t="n"/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A46" s="47" t="n"/>
    </row>
    <row r="47">
      <c r="A47" s="7" t="inlineStr">
        <is>
          <t>Sinkhorn row norm</t>
        </is>
      </c>
      <c r="B47" s="7" t="inlineStr">
        <is>
          <t>sum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s="47" t="n"/>
    </row>
    <row r="48">
      <c r="A48" s="7" t="inlineStr">
        <is>
          <t>Sinkhorn row norm</t>
        </is>
      </c>
      <c r="B48" s="7" t="inlineStr">
        <is>
          <t>multiply(1/r)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s="47" t="n"/>
    </row>
    <row r="49">
      <c r="A49" s="7" t="inlineStr">
        <is>
          <t>Sinkhorn col transpose</t>
        </is>
      </c>
      <c r="B49" s="7" t="inlineStr">
        <is>
          <t>move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A49" s="47" t="n"/>
    </row>
    <row r="50">
      <c r="A50" s="7" t="inlineStr">
        <is>
          <t>Sinkhorn col norm</t>
        </is>
      </c>
      <c r="B50" s="7" t="inlineStr">
        <is>
          <t>sum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A50" s="47" t="n"/>
    </row>
    <row r="51">
      <c r="A51" s="7" t="inlineStr">
        <is>
          <t>Sinkhorn col norm</t>
        </is>
      </c>
      <c r="B51" s="7" t="inlineStr">
        <is>
          <t>multiply(1/c)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17" t="inlineStr">
        <is>
          <t>Sinkhorn total (x100) [us] -&gt;</t>
        </is>
      </c>
      <c r="Z51" s="17">
        <f>100*(SUM(T47:T51))</f>
        <v/>
      </c>
      <c r="AA51" s="47" t="n"/>
    </row>
    <row r="52">
      <c r="A52" s="7" t="inlineStr">
        <is>
          <t>match readout (dual-softmax)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A52" s="47" t="n"/>
    </row>
    <row r="53">
      <c r="A53" s="7" t="inlineStr">
        <is>
          <t>match readout (dual-softmax)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A53" s="47" t="n"/>
    </row>
    <row r="54">
      <c r="A54" s="7" t="inlineStr">
        <is>
          <t>match readout (dual-softmax)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A54" s="47" t="n"/>
    </row>
    <row r="55">
      <c r="A55" s="7" t="inlineStr">
        <is>
          <t>match readout (dual-softmax)</t>
        </is>
      </c>
      <c r="B55" s="7" t="inlineStr">
        <is>
          <t>subtract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A55" s="47" t="n"/>
    </row>
    <row r="56">
      <c r="A56" s="7" t="inlineStr">
        <is>
          <t>match readout (dual-softmax)</t>
        </is>
      </c>
      <c r="B56" s="7" t="inlineStr">
        <is>
          <t>multiply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A56" s="48" t="n"/>
    </row>
    <row r="58">
      <c r="A58" s="7" t="inlineStr">
        <is>
          <t>GRAND TOTAL [us]</t>
        </is>
      </c>
      <c r="Y58" s="17" t="inlineStr">
        <is>
          <t>variant: max_sinkhorn</t>
        </is>
      </c>
      <c r="Z58" s="17">
        <f>Z11+Z40+2*(SUM(T41:T42))+SUM(T43:T44)+T45+Z51+SUM(T52:T56)</f>
        <v/>
      </c>
    </row>
    <row r="59">
      <c r="A59" s="7" t="inlineStr">
        <is>
          <t>FPS (image pair)</t>
        </is>
      </c>
      <c r="Y59" s="17" t="inlineStr">
        <is>
          <t>frames / sec -&gt;</t>
        </is>
      </c>
      <c r="Z59" s="17">
        <f>1000000/Z58</f>
        <v/>
      </c>
    </row>
  </sheetData>
  <mergeCells count="5">
    <mergeCell ref="AA21:AA30"/>
    <mergeCell ref="AA12:AA40"/>
    <mergeCell ref="AA3:AA11"/>
    <mergeCell ref="AA41:AA56"/>
    <mergeCell ref="AA47:AA5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s="47" t="n"/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s="47" t="n"/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s="47" t="n"/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s="47" t="n"/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s="47" t="n"/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s="47" t="n"/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s="47" t="n"/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A11" s="48" t="n"/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s="47" t="n"/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s="47" t="n"/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s="47" t="n"/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s="47" t="n"/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s="47" t="n"/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A18" s="47" t="n"/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A19" s="47" t="n"/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A20" s="47" t="n"/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s="47" t="n"/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s="47" t="n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s="47" t="n"/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s="47" t="n"/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s="47" t="n"/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s="47" t="n"/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47" t="n"/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47" t="n"/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47" t="n"/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47" t="n"/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A31" s="47" t="n"/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s="47" t="n"/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s="47" t="n"/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s="47" t="n"/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s="47" t="n"/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s="47" t="n"/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s="47" t="n"/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s="47" t="n"/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47" t="n"/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A40" s="48" t="n"/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47" t="n"/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47" t="n"/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47" t="n"/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A45" s="47" t="n"/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A46" s="47" t="n"/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s="47" t="n"/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s="47" t="n"/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A49" s="47" t="n"/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A50" s="47" t="n"/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A51" s="47" t="n"/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A52" s="47" t="n"/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A53" s="47" t="n"/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A54" s="47" t="n"/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A55" s="47" t="n"/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A56" s="47" t="n"/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A57" s="47" t="n"/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47" t="n"/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47" t="n"/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47" t="n"/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A61" s="47" t="n"/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A62" s="48" t="n"/>
    </row>
    <row r="64">
      <c r="A64" s="7" t="inlineStr">
        <is>
          <t>GRAND TOTAL [us]</t>
        </is>
      </c>
      <c r="Y64" s="17" t="inlineStr">
        <is>
          <t>variant: base2_softmax</t>
        </is>
      </c>
      <c r="Z64" s="17">
        <f>Z11+Z40+2*(SUM(T41:T42))+SUM(T43:T44)+T45+Z57+SUM(T58:T62)</f>
        <v/>
      </c>
    </row>
    <row r="65">
      <c r="A65" s="7" t="inlineStr">
        <is>
          <t>FPS (image pair)</t>
        </is>
      </c>
      <c r="Y65" s="17" t="inlineStr">
        <is>
          <t>frames / sec -&gt;</t>
        </is>
      </c>
      <c r="Z65" s="17">
        <f>1000000/Z64</f>
        <v/>
      </c>
    </row>
  </sheetData>
  <mergeCells count="5">
    <mergeCell ref="AA47:AA57"/>
    <mergeCell ref="AA21:AA30"/>
    <mergeCell ref="AA12:AA40"/>
    <mergeCell ref="AA3:AA11"/>
    <mergeCell ref="AA41:AA6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s="47" t="n"/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s="47" t="n"/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s="47" t="n"/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s="47" t="n"/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s="47" t="n"/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s="47" t="n"/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s="47" t="n"/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A11" s="48" t="n"/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s="47" t="n"/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s="47" t="n"/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s="47" t="n"/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s="47" t="n"/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s="47" t="n"/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A18" s="47" t="n"/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A19" s="47" t="n"/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A20" s="47" t="n"/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s="47" t="n"/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s="47" t="n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s="47" t="n"/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s="47" t="n"/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s="47" t="n"/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s="47" t="n"/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47" t="n"/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47" t="n"/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47" t="n"/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47" t="n"/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A31" s="47" t="n"/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s="47" t="n"/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s="47" t="n"/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s="47" t="n"/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s="47" t="n"/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s="47" t="n"/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s="47" t="n"/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s="47" t="n"/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47" t="n"/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A40" s="48" t="n"/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47" t="n"/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47" t="n"/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47" t="n"/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A45" s="47" t="n"/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A46" s="47" t="n"/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s="47" t="n"/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s="47" t="n"/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A49" s="47" t="n"/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A50" s="47" t="n"/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A51" s="47" t="n"/>
    </row>
    <row r="52">
      <c r="A52" s="7" t="inlineStr">
        <is>
          <t>Sinkhorn col norm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A52" s="47" t="n"/>
    </row>
    <row r="53">
      <c r="A53" s="7" t="inlineStr">
        <is>
          <t>Sinkhorn col norm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A53" s="47" t="n"/>
    </row>
    <row r="54">
      <c r="A54" s="7" t="inlineStr">
        <is>
          <t>Sinkhorn col norm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A54" s="47" t="n"/>
    </row>
    <row r="55">
      <c r="A55" s="7" t="inlineStr">
        <is>
          <t>Sinkhorn col norm</t>
        </is>
      </c>
      <c r="B55" s="7" t="inlineStr">
        <is>
          <t>log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A55" s="47" t="n"/>
    </row>
    <row r="56">
      <c r="A56" s="7" t="inlineStr">
        <is>
          <t>Sinkhorn col norm</t>
        </is>
      </c>
      <c r="B56" s="7" t="inlineStr">
        <is>
          <t>subtract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Y56" s="17" t="inlineStr">
        <is>
          <t>Sinkhorn total (x100) [us] -&gt;</t>
        </is>
      </c>
      <c r="Z56" s="17">
        <f>100*(SUM(T47:T56))</f>
        <v/>
      </c>
      <c r="AA56" s="47" t="n"/>
    </row>
    <row r="57">
      <c r="A57" s="7" t="inlineStr">
        <is>
          <t>match readout (dual-softmax)</t>
        </is>
      </c>
      <c r="B57" s="7" t="inlineStr">
        <is>
          <t>max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47" t="n"/>
    </row>
    <row r="58">
      <c r="A58" s="7" t="inlineStr">
        <is>
          <t>match readout (dual-softmax)</t>
        </is>
      </c>
      <c r="B58" s="7" t="inlineStr">
        <is>
          <t>exp2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47" t="n"/>
    </row>
    <row r="59">
      <c r="A59" s="7" t="inlineStr">
        <is>
          <t>match readout (dual-softmax)</t>
        </is>
      </c>
      <c r="B59" s="7" t="inlineStr">
        <is>
          <t>sum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47" t="n"/>
    </row>
    <row r="60">
      <c r="A60" s="7" t="inlineStr">
        <is>
          <t>match readout (dual-softmax)</t>
        </is>
      </c>
      <c r="B60" s="7" t="inlineStr">
        <is>
          <t>subtract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47" t="n"/>
    </row>
    <row r="61">
      <c r="A61" s="7" t="inlineStr">
        <is>
          <t>match readout (dual-softmax)</t>
        </is>
      </c>
      <c r="B61" s="7" t="inlineStr">
        <is>
          <t>multiply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A61" s="48" t="n"/>
    </row>
    <row r="63">
      <c r="A63" s="7" t="inlineStr">
        <is>
          <t>GRAND TOTAL [us]</t>
        </is>
      </c>
      <c r="Y63" s="17" t="inlineStr">
        <is>
          <t>variant: transpose_free</t>
        </is>
      </c>
      <c r="Z63" s="17">
        <f>Z11+Z40+2*(SUM(T41:T42))+SUM(T43:T44)+T45+Z56+SUM(T57:T61)</f>
        <v/>
      </c>
    </row>
    <row r="64">
      <c r="A64" s="7" t="inlineStr">
        <is>
          <t>FPS (image pair)</t>
        </is>
      </c>
      <c r="Y64" s="17" t="inlineStr">
        <is>
          <t>frames / sec -&gt;</t>
        </is>
      </c>
      <c r="Z64" s="17">
        <f>1000000/Z63</f>
        <v/>
      </c>
    </row>
  </sheetData>
  <mergeCells count="5">
    <mergeCell ref="AA21:AA30"/>
    <mergeCell ref="AA12:AA40"/>
    <mergeCell ref="AA3:AA11"/>
    <mergeCell ref="AA41:AA61"/>
    <mergeCell ref="AA47:AA5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s="47" t="n"/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s="47" t="n"/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s="47" t="n"/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s="47" t="n"/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s="47" t="n"/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s="47" t="n"/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s="47" t="n"/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A11" s="48" t="n"/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s="47" t="n"/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s="47" t="n"/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s="47" t="n"/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s="47" t="n"/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s="47" t="n"/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A18" s="47" t="n"/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A19" s="47" t="n"/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A20" s="47" t="n"/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s="47" t="n"/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s="47" t="n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s="47" t="n"/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s="47" t="n"/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s="47" t="n"/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s="47" t="n"/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47" t="n"/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47" t="n"/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47" t="n"/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47" t="n"/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A31" s="47" t="n"/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s="47" t="n"/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s="47" t="n"/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s="47" t="n"/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s="47" t="n"/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s="47" t="n"/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s="47" t="n"/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s="47" t="n"/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47" t="n"/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A40" s="48" t="n"/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47" t="n"/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47" t="n"/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47" t="n"/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A45" s="47" t="n"/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A46" s="47" t="n"/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s="47" t="n"/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s="47" t="n"/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A49" s="47" t="n"/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A50" s="47" t="n"/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A51" s="47" t="n"/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A52" s="47" t="n"/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A53" s="47" t="n"/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A54" s="47" t="n"/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A55" s="47" t="n"/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A56" s="47" t="n"/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A57" s="47" t="n"/>
    </row>
    <row r="58">
      <c r="A58" s="7" t="inlineStr">
        <is>
          <t>match readout</t>
        </is>
      </c>
      <c r="B58" s="7" t="inlineStr">
        <is>
          <t>max(argmax)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47" t="n"/>
    </row>
    <row r="59">
      <c r="A59" s="7" t="inlineStr">
        <is>
          <t>match readout</t>
        </is>
      </c>
      <c r="B59" s="7" t="inlineStr">
        <is>
          <t>compare(threshold)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48" t="n"/>
    </row>
    <row r="61">
      <c r="A61" s="7" t="inlineStr">
        <is>
          <t>GRAND TOTAL [us]</t>
        </is>
      </c>
      <c r="Y61" s="17" t="inlineStr">
        <is>
          <t>variant: fixed_thresh</t>
        </is>
      </c>
      <c r="Z61" s="17">
        <f>Z11+Z40+2*(SUM(T41:T42))+SUM(T43:T44)+T45+Z57+SUM(T58:T59)</f>
        <v/>
      </c>
    </row>
    <row r="62">
      <c r="A62" s="7" t="inlineStr">
        <is>
          <t>FPS (image pair)</t>
        </is>
      </c>
      <c r="Y62" s="17" t="inlineStr">
        <is>
          <t>frames / sec -&gt;</t>
        </is>
      </c>
      <c r="Z62" s="17">
        <f>1000000/Z61</f>
        <v/>
      </c>
    </row>
  </sheetData>
  <mergeCells count="5">
    <mergeCell ref="AA47:AA57"/>
    <mergeCell ref="AA21:AA30"/>
    <mergeCell ref="AA12:AA40"/>
    <mergeCell ref="AA3:AA11"/>
    <mergeCell ref="AA41:AA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1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0</v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inlineStr"/>
      <c r="Z2" t="n">
        <v>8</v>
      </c>
    </row>
    <row r="3">
      <c r="A3" s="7" t="inlineStr">
        <is>
          <t>KptEnc 3-&gt;32</t>
        </is>
      </c>
      <c r="B3" s="7" t="inlineStr">
        <is>
          <t>MAC matmul</t>
        </is>
      </c>
      <c r="C3" s="11" t="n">
        <v>32</v>
      </c>
      <c r="D3" s="11" t="n">
        <v>512</v>
      </c>
      <c r="E3" s="11" t="n">
        <v>3</v>
      </c>
      <c r="F3" s="2" t="n">
        <v>0</v>
      </c>
      <c r="G3" s="2" t="n">
        <v>3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3860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t="inlineStr">
        <is>
          <t>x2</t>
        </is>
      </c>
    </row>
    <row r="4">
      <c r="A4" s="7" t="inlineStr">
        <is>
          <t>KptEnc 32-&gt;64</t>
        </is>
      </c>
      <c r="B4" s="7" t="inlineStr">
        <is>
          <t>MAC matmul</t>
        </is>
      </c>
      <c r="C4" s="11" t="n">
        <v>64</v>
      </c>
      <c r="D4" s="11" t="n">
        <v>512</v>
      </c>
      <c r="E4" s="11" t="n">
        <v>32</v>
      </c>
      <c r="F4" s="2" t="n">
        <v>0</v>
      </c>
      <c r="G4" s="2" t="n">
        <v>32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52265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t="inlineStr">
        <is>
          <t>x2</t>
        </is>
      </c>
    </row>
    <row r="5">
      <c r="A5" s="7" t="inlineStr">
        <is>
          <t>KptEnc 64-&gt;128</t>
        </is>
      </c>
      <c r="B5" s="7" t="inlineStr">
        <is>
          <t>MAC matmul</t>
        </is>
      </c>
      <c r="C5" s="11" t="n">
        <v>128</v>
      </c>
      <c r="D5" s="11" t="n">
        <v>512</v>
      </c>
      <c r="E5" s="11" t="n">
        <v>64</v>
      </c>
      <c r="F5" s="2" t="n">
        <v>0</v>
      </c>
      <c r="G5" s="2" t="n">
        <v>64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128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202834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t="inlineStr">
        <is>
          <t>x2</t>
        </is>
      </c>
    </row>
    <row r="6">
      <c r="A6" s="7" t="inlineStr">
        <is>
          <t>KptEnc 128-&gt;256</t>
        </is>
      </c>
      <c r="B6" s="7" t="inlineStr">
        <is>
          <t>MAC matmul</t>
        </is>
      </c>
      <c r="C6" s="11" t="n">
        <v>256</v>
      </c>
      <c r="D6" s="11" t="n">
        <v>512</v>
      </c>
      <c r="E6" s="11" t="n">
        <v>128</v>
      </c>
      <c r="F6" s="2" t="n">
        <v>0</v>
      </c>
      <c r="G6" s="2" t="n">
        <v>128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256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798884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t="inlineStr">
        <is>
          <t>x2</t>
        </is>
      </c>
    </row>
    <row r="7">
      <c r="A7" s="7" t="inlineStr">
        <is>
          <t>Residual desc+=enc</t>
        </is>
      </c>
      <c r="B7" s="7" t="inlineStr">
        <is>
          <t>add</t>
        </is>
      </c>
      <c r="C7" s="11" t="n">
        <v>256</v>
      </c>
      <c r="D7" s="11" t="n">
        <v>512</v>
      </c>
      <c r="E7" s="11" t="n">
        <v>0</v>
      </c>
      <c r="F7" s="2" t="n">
        <v>0</v>
      </c>
      <c r="G7" s="2" t="n">
        <v>0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256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10240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t="inlineStr">
        <is>
          <t>x2</t>
        </is>
      </c>
    </row>
    <row r="8">
      <c r="A8" s="7" t="inlineStr">
        <is>
          <t>Q proj D-&gt;D</t>
        </is>
      </c>
      <c r="B8" s="7" t="inlineStr">
        <is>
          <t>MAC matmul</t>
        </is>
      </c>
      <c r="C8" s="11" t="n">
        <v>256</v>
      </c>
      <c r="D8" s="11" t="n">
        <v>512</v>
      </c>
      <c r="E8" s="11" t="n">
        <v>256</v>
      </c>
      <c r="F8" s="2" t="n">
        <v>0</v>
      </c>
      <c r="G8" s="2" t="n">
        <v>256</v>
      </c>
      <c r="H8" s="2" t="n">
        <v>36</v>
      </c>
      <c r="I8" s="3" t="n">
        <v>0</v>
      </c>
      <c r="J8" s="3" t="n">
        <v>0</v>
      </c>
      <c r="K8" s="3" t="n">
        <v>0</v>
      </c>
      <c r="L8" s="13" t="n">
        <v>256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28535685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t="inlineStr">
        <is>
          <t>x36</t>
        </is>
      </c>
    </row>
    <row r="9">
      <c r="A9" s="7" t="inlineStr">
        <is>
          <t>K proj D-&gt;D</t>
        </is>
      </c>
      <c r="B9" s="7" t="inlineStr">
        <is>
          <t>MAC matmul</t>
        </is>
      </c>
      <c r="C9" s="11" t="n">
        <v>256</v>
      </c>
      <c r="D9" s="11" t="n">
        <v>512</v>
      </c>
      <c r="E9" s="11" t="n">
        <v>256</v>
      </c>
      <c r="F9" s="2" t="n">
        <v>0</v>
      </c>
      <c r="G9" s="2" t="n">
        <v>256</v>
      </c>
      <c r="H9" s="2" t="n">
        <v>36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28535685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t="inlineStr">
        <is>
          <t>x36</t>
        </is>
      </c>
    </row>
    <row r="10">
      <c r="A10" s="7" t="inlineStr">
        <is>
          <t>V proj D-&gt;D</t>
        </is>
      </c>
      <c r="B10" s="7" t="inlineStr">
        <is>
          <t>MAC matmul</t>
        </is>
      </c>
      <c r="C10" s="11" t="n">
        <v>256</v>
      </c>
      <c r="D10" s="11" t="n">
        <v>512</v>
      </c>
      <c r="E10" s="11" t="n">
        <v>256</v>
      </c>
      <c r="F10" s="2" t="n">
        <v>0</v>
      </c>
      <c r="G10" s="2" t="n">
        <v>256</v>
      </c>
      <c r="H10" s="2" t="n">
        <v>36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28535685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t="inlineStr">
        <is>
          <t>x36</t>
        </is>
      </c>
    </row>
    <row r="11">
      <c r="A11" s="7" t="inlineStr">
        <is>
          <t>QKt</t>
        </is>
      </c>
      <c r="B11" s="7" t="inlineStr">
        <is>
          <t>MAC matmul</t>
        </is>
      </c>
      <c r="C11" s="11" t="n">
        <v>512</v>
      </c>
      <c r="D11" s="11" t="n">
        <v>512</v>
      </c>
      <c r="E11" s="11" t="n">
        <v>64</v>
      </c>
      <c r="F11" s="2" t="n">
        <v>0</v>
      </c>
      <c r="G11" s="2" t="n">
        <v>64</v>
      </c>
      <c r="H11" s="2" t="n">
        <v>144</v>
      </c>
      <c r="I11" s="3" t="n">
        <v>0</v>
      </c>
      <c r="J11" s="3" t="n">
        <v>0</v>
      </c>
      <c r="K11" s="3" t="n">
        <v>0</v>
      </c>
      <c r="L11" s="13" t="n">
        <v>512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58416169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t="inlineStr">
        <is>
          <t>x144</t>
        </is>
      </c>
    </row>
    <row r="12">
      <c r="A12" s="7" t="inlineStr">
        <is>
          <t>scale 1/sqrt(d)</t>
        </is>
      </c>
      <c r="B12" s="7" t="inlineStr">
        <is>
          <t>multiply</t>
        </is>
      </c>
      <c r="C12" s="11" t="n">
        <v>512</v>
      </c>
      <c r="D12" s="11" t="n">
        <v>512</v>
      </c>
      <c r="E12" s="11" t="n">
        <v>0</v>
      </c>
      <c r="F12" s="2" t="n">
        <v>0</v>
      </c>
      <c r="G12" s="2" t="n">
        <v>0</v>
      </c>
      <c r="H12" s="2" t="n">
        <v>144</v>
      </c>
      <c r="I12" s="3" t="n">
        <v>0</v>
      </c>
      <c r="J12" s="3" t="n">
        <v>0</v>
      </c>
      <c r="K12" s="3" t="n">
        <v>0</v>
      </c>
      <c r="L12" s="13" t="n">
        <v>512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1474560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t="inlineStr">
        <is>
          <t>x144</t>
        </is>
      </c>
    </row>
    <row r="13">
      <c r="A13" s="7" t="inlineStr">
        <is>
          <t>softmax</t>
        </is>
      </c>
      <c r="B13" s="7" t="inlineStr">
        <is>
          <t>max,exp2,sum,mul</t>
        </is>
      </c>
      <c r="C13" s="11" t="n">
        <v>512</v>
      </c>
      <c r="D13" s="11" t="n">
        <v>512</v>
      </c>
      <c r="E13" s="11" t="n">
        <v>0</v>
      </c>
      <c r="F13" s="2" t="n">
        <v>0</v>
      </c>
      <c r="G13" s="2" t="n">
        <v>0</v>
      </c>
      <c r="H13" s="2" t="n">
        <v>144</v>
      </c>
      <c r="I13" s="3" t="n">
        <v>0</v>
      </c>
      <c r="J13" s="3" t="n">
        <v>0</v>
      </c>
      <c r="K13" s="3" t="n">
        <v>0</v>
      </c>
      <c r="L13" s="13" t="n">
        <v>512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5603328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t="inlineStr">
        <is>
          <t>x144</t>
        </is>
      </c>
    </row>
    <row r="14">
      <c r="A14" s="7" t="inlineStr">
        <is>
          <t>attn @ V</t>
        </is>
      </c>
      <c r="B14" s="7" t="inlineStr">
        <is>
          <t>MAC matmul</t>
        </is>
      </c>
      <c r="C14" s="11" t="n">
        <v>512</v>
      </c>
      <c r="D14" s="11" t="n">
        <v>64</v>
      </c>
      <c r="E14" s="11" t="n">
        <v>512</v>
      </c>
      <c r="F14" s="2" t="n">
        <v>0</v>
      </c>
      <c r="G14" s="2" t="n">
        <v>512</v>
      </c>
      <c r="H14" s="2" t="n">
        <v>144</v>
      </c>
      <c r="I14" s="3" t="n">
        <v>0</v>
      </c>
      <c r="J14" s="3" t="n">
        <v>0</v>
      </c>
      <c r="K14" s="3" t="n">
        <v>0</v>
      </c>
      <c r="L14" s="13" t="n">
        <v>512</v>
      </c>
      <c r="M14" s="13" t="n">
        <v>64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56847237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t="inlineStr">
        <is>
          <t>x144</t>
        </is>
      </c>
    </row>
    <row r="15">
      <c r="A15" s="7" t="inlineStr">
        <is>
          <t>out proj D-&gt;D</t>
        </is>
      </c>
      <c r="B15" s="7" t="inlineStr">
        <is>
          <t>MAC matmul</t>
        </is>
      </c>
      <c r="C15" s="11" t="n">
        <v>256</v>
      </c>
      <c r="D15" s="11" t="n">
        <v>512</v>
      </c>
      <c r="E15" s="11" t="n">
        <v>256</v>
      </c>
      <c r="F15" s="2" t="n">
        <v>0</v>
      </c>
      <c r="G15" s="2" t="n">
        <v>256</v>
      </c>
      <c r="H15" s="2" t="n">
        <v>36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28535685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t="inlineStr">
        <is>
          <t>x36</t>
        </is>
      </c>
    </row>
    <row r="16">
      <c r="A16" s="7" t="inlineStr">
        <is>
          <t>Residual x+=msg</t>
        </is>
      </c>
      <c r="B16" s="7" t="inlineStr">
        <is>
          <t>add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0</v>
      </c>
      <c r="H16" s="2" t="n">
        <v>36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184320</v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t="inlineStr">
        <is>
          <t>x36</t>
        </is>
      </c>
    </row>
    <row r="17">
      <c r="A17" s="7" t="inlineStr">
        <is>
          <t>merge MLP 2D-&gt;2D</t>
        </is>
      </c>
      <c r="B17" s="7" t="inlineStr">
        <is>
          <t>MAC matmul</t>
        </is>
      </c>
      <c r="C17" s="11" t="n">
        <v>512</v>
      </c>
      <c r="D17" s="11" t="n">
        <v>512</v>
      </c>
      <c r="E17" s="11" t="n">
        <v>512</v>
      </c>
      <c r="F17" s="2" t="n">
        <v>0</v>
      </c>
      <c r="G17" s="2" t="n">
        <v>512</v>
      </c>
      <c r="H17" s="2" t="n">
        <v>36</v>
      </c>
      <c r="I17" s="3" t="n">
        <v>0</v>
      </c>
      <c r="J17" s="3" t="n">
        <v>0</v>
      </c>
      <c r="K17" s="3" t="n">
        <v>0</v>
      </c>
      <c r="L17" s="13" t="n">
        <v>512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113694474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t="inlineStr">
        <is>
          <t>x36</t>
        </is>
      </c>
    </row>
    <row r="18">
      <c r="A18" s="7" t="inlineStr">
        <is>
          <t>merge MLP relu</t>
        </is>
      </c>
      <c r="B18" s="7" t="inlineStr">
        <is>
          <t>relu</t>
        </is>
      </c>
      <c r="C18" s="11" t="n">
        <v>512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36</v>
      </c>
      <c r="I18" s="3" t="n">
        <v>0</v>
      </c>
      <c r="J18" s="3" t="n">
        <v>0</v>
      </c>
      <c r="K18" s="3" t="n">
        <v>0</v>
      </c>
      <c r="L18" s="13" t="n">
        <v>512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368640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t="inlineStr">
        <is>
          <t>x36</t>
        </is>
      </c>
    </row>
    <row r="19">
      <c r="A19" s="7" t="inlineStr">
        <is>
          <t>merge MLP 2D-&gt;D</t>
        </is>
      </c>
      <c r="B19" s="7" t="inlineStr">
        <is>
          <t>MAC matmul</t>
        </is>
      </c>
      <c r="C19" s="11" t="n">
        <v>256</v>
      </c>
      <c r="D19" s="11" t="n">
        <v>512</v>
      </c>
      <c r="E19" s="11" t="n">
        <v>512</v>
      </c>
      <c r="F19" s="2" t="n">
        <v>0</v>
      </c>
      <c r="G19" s="2" t="n">
        <v>512</v>
      </c>
      <c r="H19" s="2" t="n">
        <v>36</v>
      </c>
      <c r="I19" s="3" t="n">
        <v>0</v>
      </c>
      <c r="J19" s="3" t="n">
        <v>0</v>
      </c>
      <c r="K19" s="3" t="n">
        <v>0</v>
      </c>
      <c r="L19" s="13" t="n">
        <v>256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56847237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t="inlineStr">
        <is>
          <t>x36</t>
        </is>
      </c>
    </row>
    <row r="20">
      <c r="A20" s="7" t="inlineStr">
        <is>
          <t>Residual x+=mlp</t>
        </is>
      </c>
      <c r="B20" s="7" t="inlineStr">
        <is>
          <t>add</t>
        </is>
      </c>
      <c r="C20" s="11" t="n">
        <v>256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36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184320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t="inlineStr">
        <is>
          <t>x36</t>
        </is>
      </c>
    </row>
    <row r="21">
      <c r="A21" s="7" t="inlineStr">
        <is>
          <t>final proj D-&gt;D</t>
        </is>
      </c>
      <c r="B21" s="7" t="inlineStr">
        <is>
          <t>MAC matmul</t>
        </is>
      </c>
      <c r="C21" s="11" t="n">
        <v>256</v>
      </c>
      <c r="D21" s="11" t="n">
        <v>512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1585316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t="inlineStr">
        <is>
          <t>x2</t>
        </is>
      </c>
    </row>
    <row r="22">
      <c r="A22" s="7" t="inlineStr">
        <is>
          <t>score = A^T B</t>
        </is>
      </c>
      <c r="B22" s="7" t="inlineStr">
        <is>
          <t>MAC matmul</t>
        </is>
      </c>
      <c r="C22" s="11" t="n">
        <v>512</v>
      </c>
      <c r="D22" s="11" t="n">
        <v>512</v>
      </c>
      <c r="E22" s="11" t="n">
        <v>256</v>
      </c>
      <c r="F22" s="2" t="n">
        <v>0</v>
      </c>
      <c r="G22" s="2" t="n">
        <v>256</v>
      </c>
      <c r="H22" s="2" t="n">
        <v>1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1585316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t="inlineStr"/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1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10240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t="inlineStr"/>
    </row>
    <row r="24">
      <c r="A24" s="7" t="inlineStr">
        <is>
          <t>Sinkhorn row norm (max)</t>
        </is>
      </c>
      <c r="B24" s="7" t="inlineStr">
        <is>
          <t>sum,scale</t>
        </is>
      </c>
      <c r="C24" s="11" t="n">
        <v>513</v>
      </c>
      <c r="D24" s="11" t="n">
        <v>513</v>
      </c>
      <c r="E24" s="11" t="n">
        <v>0</v>
      </c>
      <c r="F24" s="2" t="n">
        <v>0</v>
      </c>
      <c r="G24" s="2" t="n">
        <v>0</v>
      </c>
      <c r="H24" s="2" t="n">
        <v>100</v>
      </c>
      <c r="I24" s="3" t="n">
        <v>0</v>
      </c>
      <c r="J24" s="3" t="n">
        <v>0</v>
      </c>
      <c r="K24" s="3" t="n">
        <v>0</v>
      </c>
      <c r="L24" s="13" t="n">
        <v>513</v>
      </c>
      <c r="M24" s="13" t="n">
        <v>513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2336555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t="inlineStr">
        <is>
          <t>x100</t>
        </is>
      </c>
    </row>
    <row r="25">
      <c r="A25" s="7" t="inlineStr">
        <is>
          <t>Sinkhorn col norm (max)</t>
        </is>
      </c>
      <c r="B25" s="7" t="inlineStr">
        <is>
          <t>ACC.MAX,scale</t>
        </is>
      </c>
      <c r="C25" s="11" t="n">
        <v>513</v>
      </c>
      <c r="D25" s="11" t="n">
        <v>513</v>
      </c>
      <c r="E25" s="11" t="n">
        <v>0</v>
      </c>
      <c r="F25" s="2" t="n">
        <v>0</v>
      </c>
      <c r="G25" s="2" t="n">
        <v>0</v>
      </c>
      <c r="H25" s="2" t="n">
        <v>100</v>
      </c>
      <c r="I25" s="3" t="n">
        <v>0</v>
      </c>
      <c r="J25" s="3" t="n">
        <v>0</v>
      </c>
      <c r="K25" s="3" t="n">
        <v>0</v>
      </c>
      <c r="L25" s="13" t="n">
        <v>513</v>
      </c>
      <c r="M25" s="13" t="n">
        <v>513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4176141</v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t="inlineStr">
        <is>
          <t>x100</t>
        </is>
      </c>
    </row>
    <row r="26">
      <c r="A26" s="7" t="inlineStr">
        <is>
          <t>match readout</t>
        </is>
      </c>
      <c r="B26" s="7" t="inlineStr">
        <is>
          <t>argmax+thresh</t>
        </is>
      </c>
      <c r="C26" s="11" t="n">
        <v>513</v>
      </c>
      <c r="D26" s="11" t="n">
        <v>513</v>
      </c>
      <c r="E26" s="11" t="n">
        <v>0</v>
      </c>
      <c r="F26" s="2" t="n">
        <v>0</v>
      </c>
      <c r="G26" s="2" t="n">
        <v>0</v>
      </c>
      <c r="H26" s="2" t="n">
        <v>1</v>
      </c>
      <c r="I26" s="3" t="n">
        <v>0</v>
      </c>
      <c r="J26" s="3" t="n">
        <v>0</v>
      </c>
      <c r="K26" s="3" t="n">
        <v>0</v>
      </c>
      <c r="L26" s="13" t="n">
        <v>513</v>
      </c>
      <c r="M26" s="13" t="n">
        <v>513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10285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Y26" t="inlineStr"/>
    </row>
    <row r="27">
      <c r="A27" s="7" t="inlineStr">
        <is>
          <t>GRAND TOTAL [us] (measured)</t>
        </is>
      </c>
      <c r="Y27" s="17" t="inlineStr">
        <is>
          <t>measured emulator cycles -&gt;</t>
        </is>
      </c>
      <c r="Z27" s="17">
        <f>SUM(T2:T26)</f>
        <v/>
      </c>
    </row>
    <row r="28">
      <c r="A28" s="7" t="inlineStr">
        <is>
          <t>FPS (image pair)</t>
        </is>
      </c>
      <c r="Y28" s="17" t="inlineStr">
        <is>
          <t>frames / sec -&gt;</t>
        </is>
      </c>
      <c r="Z28" s="17">
        <f>1000000/Z27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2026-05-27T14:27:55Z</dcterms:modified>
  <cp:lastModifiedBy>Yuval Harary</cp:lastModifiedBy>
</cp:coreProperties>
</file>